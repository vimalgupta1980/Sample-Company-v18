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330" windowWidth="9180" windowHeight="4305" activeTab="1"/>
  </bookViews>
  <sheets>
    <sheet name="Set Up" sheetId="12" r:id="rId1"/>
    <sheet name="Cost to Complete" sheetId="10" r:id="rId2"/>
    <sheet name="MB Data" sheetId="11" r:id="rId3"/>
  </sheets>
  <definedNames>
    <definedName name="_xlnm._FilterDatabase" localSheetId="1" hidden="1">'Cost to Complete'!$A$9:$C$362</definedName>
    <definedName name="_Key1" localSheetId="1">'Cost to Complete'!$A$10:$A$106</definedName>
    <definedName name="_Order1" localSheetId="1">255</definedName>
    <definedName name="_Sort" localSheetId="1">'Cost to Complete'!$A$10:$E$106</definedName>
    <definedName name="AccountingPeriods">'MB Data'!$AD$2:$AE$13</definedName>
    <definedName name="adoChangeData">'MB Data'!$T$1:$Z$261</definedName>
    <definedName name="adoCostData">'MB Data'!$A$1:$J$101</definedName>
    <definedName name="adoformat">'MB Data'!$BK$1:$BK$2</definedName>
    <definedName name="adoJobData">'MB Data'!$K$1:$S$2</definedName>
    <definedName name="CalcChangeBudget">'MB Data'!$AH$2:$AH$101</definedName>
    <definedName name="CalcChangeCosts">'MB Data'!$AG$2:$AG$101</definedName>
    <definedName name="CalcPrimeChangeNonCO">'MB Data'!$AI$2:$AI$101</definedName>
    <definedName name="ChangeData">'MB Data'!$BC$1:$BI$261</definedName>
    <definedName name="CostData">'MB Data'!$AJ$1:$AS$101</definedName>
    <definedName name="JobData">'MB Data'!$AT$1:$BB$2</definedName>
    <definedName name="ParamCOCostCode">'Set Up'!$B$8</definedName>
    <definedName name="ParamCurrentYear">'Set Up'!$B$7</definedName>
    <definedName name="ParamIncludePrimeChanges">'Set Up'!$B$10</definedName>
    <definedName name="_xlnm.Print_Area" localSheetId="1">'Cost to Complete'!$A$1:$P$373</definedName>
    <definedName name="test3">'MB Data'!$A$2:$J$101</definedName>
  </definedNames>
  <calcPr calcId="145621"/>
</workbook>
</file>

<file path=xl/calcChain.xml><?xml version="1.0" encoding="utf-8"?>
<calcChain xmlns="http://schemas.openxmlformats.org/spreadsheetml/2006/main">
  <c r="BB2" i="11" l="1"/>
  <c r="BA2" i="11"/>
  <c r="AZ2" i="11"/>
  <c r="AY2" i="11"/>
  <c r="AW2" i="11"/>
  <c r="AV2" i="11"/>
  <c r="AU2" i="11"/>
  <c r="AT2" i="11"/>
  <c r="BB1" i="11"/>
  <c r="BA1" i="11"/>
  <c r="AZ1" i="11"/>
  <c r="AY1" i="11"/>
  <c r="AX1" i="11"/>
  <c r="AW1" i="11"/>
  <c r="AV1" i="11"/>
  <c r="AU1" i="11"/>
  <c r="AT1" i="11"/>
  <c r="AS101" i="11"/>
  <c r="AR101" i="11"/>
  <c r="AQ101" i="11"/>
  <c r="AP101" i="11"/>
  <c r="AO101" i="11"/>
  <c r="AN101" i="11"/>
  <c r="AM101" i="11"/>
  <c r="AL101" i="11"/>
  <c r="AK101" i="11"/>
  <c r="AJ101" i="11"/>
  <c r="AS100" i="11"/>
  <c r="AR100" i="11"/>
  <c r="AQ100" i="11"/>
  <c r="AP100" i="11"/>
  <c r="AO100" i="11"/>
  <c r="AN100" i="11"/>
  <c r="AM100" i="11"/>
  <c r="AL100" i="11"/>
  <c r="AK100" i="11"/>
  <c r="AJ100" i="11"/>
  <c r="AS99" i="11"/>
  <c r="AR99" i="11"/>
  <c r="AQ99" i="11"/>
  <c r="AP99" i="11"/>
  <c r="AO99" i="11"/>
  <c r="AN99" i="11"/>
  <c r="AM99" i="11"/>
  <c r="AL99" i="11"/>
  <c r="AK99" i="11"/>
  <c r="AJ99" i="11"/>
  <c r="AS98" i="11"/>
  <c r="AR98" i="11"/>
  <c r="AQ98" i="11"/>
  <c r="AP98" i="11"/>
  <c r="AO98" i="11"/>
  <c r="AN98" i="11"/>
  <c r="AM98" i="11"/>
  <c r="AL98" i="11"/>
  <c r="AK98" i="11"/>
  <c r="AJ98" i="11"/>
  <c r="AS97" i="11"/>
  <c r="AR97" i="11"/>
  <c r="AQ97" i="11"/>
  <c r="AP97" i="11"/>
  <c r="AO97" i="11"/>
  <c r="AN97" i="11"/>
  <c r="AM97" i="11"/>
  <c r="AL97" i="11"/>
  <c r="AK97" i="11"/>
  <c r="AJ97" i="11"/>
  <c r="AS96" i="11"/>
  <c r="AR96" i="11"/>
  <c r="AQ96" i="11"/>
  <c r="AP96" i="11"/>
  <c r="AO96" i="11"/>
  <c r="AN96" i="11"/>
  <c r="AM96" i="11"/>
  <c r="AL96" i="11"/>
  <c r="AK96" i="11"/>
  <c r="AJ96" i="11"/>
  <c r="AS95" i="11"/>
  <c r="AR95" i="11"/>
  <c r="AQ95" i="11"/>
  <c r="AP95" i="11"/>
  <c r="AO95" i="11"/>
  <c r="AN95" i="11"/>
  <c r="AM95" i="11"/>
  <c r="AL95" i="11"/>
  <c r="AK95" i="11"/>
  <c r="AJ95" i="11"/>
  <c r="AS94" i="11"/>
  <c r="AR94" i="11"/>
  <c r="AQ94" i="11"/>
  <c r="AP94" i="11"/>
  <c r="AO94" i="11"/>
  <c r="AN94" i="11"/>
  <c r="AM94" i="11"/>
  <c r="AL94" i="11"/>
  <c r="AK94" i="11"/>
  <c r="AJ94" i="11"/>
  <c r="AS93" i="11"/>
  <c r="AR93" i="11"/>
  <c r="AQ93" i="11"/>
  <c r="AP93" i="11"/>
  <c r="AO93" i="11"/>
  <c r="AN93" i="11"/>
  <c r="AM93" i="11"/>
  <c r="AL93" i="11"/>
  <c r="AK93" i="11"/>
  <c r="AJ93" i="11"/>
  <c r="AS92" i="11"/>
  <c r="AR92" i="11"/>
  <c r="AQ92" i="11"/>
  <c r="AP92" i="11"/>
  <c r="AO92" i="11"/>
  <c r="AN92" i="11"/>
  <c r="AM92" i="11"/>
  <c r="AL92" i="11"/>
  <c r="AK92" i="11"/>
  <c r="AJ92" i="11"/>
  <c r="AS91" i="11"/>
  <c r="AR91" i="11"/>
  <c r="AQ91" i="11"/>
  <c r="AP91" i="11"/>
  <c r="AO91" i="11"/>
  <c r="AN91" i="11"/>
  <c r="AM91" i="11"/>
  <c r="AL91" i="11"/>
  <c r="AK91" i="11"/>
  <c r="AJ91" i="11"/>
  <c r="AS90" i="11"/>
  <c r="AR90" i="11"/>
  <c r="AQ90" i="11"/>
  <c r="AP90" i="11"/>
  <c r="AO90" i="11"/>
  <c r="AN90" i="11"/>
  <c r="AM90" i="11"/>
  <c r="AL90" i="11"/>
  <c r="AK90" i="11"/>
  <c r="AJ90" i="11"/>
  <c r="AS89" i="11"/>
  <c r="AR89" i="11"/>
  <c r="AQ89" i="11"/>
  <c r="AP89" i="11"/>
  <c r="AO89" i="11"/>
  <c r="AN89" i="11"/>
  <c r="AM89" i="11"/>
  <c r="AL89" i="11"/>
  <c r="AK89" i="11"/>
  <c r="AJ89" i="11"/>
  <c r="AS88" i="11"/>
  <c r="AR88" i="11"/>
  <c r="AQ88" i="11"/>
  <c r="AP88" i="11"/>
  <c r="AO88" i="11"/>
  <c r="AN88" i="11"/>
  <c r="AM88" i="11"/>
  <c r="AL88" i="11"/>
  <c r="AK88" i="11"/>
  <c r="AJ88" i="11"/>
  <c r="AS87" i="11"/>
  <c r="AR87" i="11"/>
  <c r="AQ87" i="11"/>
  <c r="AP87" i="11"/>
  <c r="AO87" i="11"/>
  <c r="AN87" i="11"/>
  <c r="AM87" i="11"/>
  <c r="AL87" i="11"/>
  <c r="AK87" i="11"/>
  <c r="AJ87" i="11"/>
  <c r="AS86" i="11"/>
  <c r="AR86" i="11"/>
  <c r="AQ86" i="11"/>
  <c r="AP86" i="11"/>
  <c r="AO86" i="11"/>
  <c r="AN86" i="11"/>
  <c r="AM86" i="11"/>
  <c r="AL86" i="11"/>
  <c r="AK86" i="11"/>
  <c r="AJ86" i="11"/>
  <c r="AS85" i="11"/>
  <c r="AR85" i="11"/>
  <c r="AQ85" i="11"/>
  <c r="AP85" i="11"/>
  <c r="AO85" i="11"/>
  <c r="AN85" i="11"/>
  <c r="AM85" i="11"/>
  <c r="AL85" i="11"/>
  <c r="AK85" i="11"/>
  <c r="AJ85" i="11"/>
  <c r="AS84" i="11"/>
  <c r="AR84" i="11"/>
  <c r="AQ84" i="11"/>
  <c r="AP84" i="11"/>
  <c r="AO84" i="11"/>
  <c r="AN84" i="11"/>
  <c r="AM84" i="11"/>
  <c r="AL84" i="11"/>
  <c r="AK84" i="11"/>
  <c r="AJ84" i="11"/>
  <c r="AS83" i="11"/>
  <c r="AR83" i="11"/>
  <c r="AQ83" i="11"/>
  <c r="AP83" i="11"/>
  <c r="AO83" i="11"/>
  <c r="AN83" i="11"/>
  <c r="AM83" i="11"/>
  <c r="AL83" i="11"/>
  <c r="AK83" i="11"/>
  <c r="AJ83" i="11"/>
  <c r="AS82" i="11"/>
  <c r="AR82" i="11"/>
  <c r="AQ82" i="11"/>
  <c r="AP82" i="11"/>
  <c r="AO82" i="11"/>
  <c r="AN82" i="11"/>
  <c r="AM82" i="11"/>
  <c r="AL82" i="11"/>
  <c r="AK82" i="11"/>
  <c r="AJ82" i="11"/>
  <c r="AS81" i="11"/>
  <c r="AR81" i="11"/>
  <c r="AQ81" i="11"/>
  <c r="AP81" i="11"/>
  <c r="AO81" i="11"/>
  <c r="AN81" i="11"/>
  <c r="AM81" i="11"/>
  <c r="AL81" i="11"/>
  <c r="AK81" i="11"/>
  <c r="AJ81" i="11"/>
  <c r="AS80" i="11"/>
  <c r="AR80" i="11"/>
  <c r="AQ80" i="11"/>
  <c r="AP80" i="11"/>
  <c r="AO80" i="11"/>
  <c r="AN80" i="11"/>
  <c r="AM80" i="11"/>
  <c r="AL80" i="11"/>
  <c r="AK80" i="11"/>
  <c r="AJ80" i="11"/>
  <c r="AS79" i="11"/>
  <c r="AR79" i="11"/>
  <c r="AQ79" i="11"/>
  <c r="AP79" i="11"/>
  <c r="AO79" i="11"/>
  <c r="AN79" i="11"/>
  <c r="AM79" i="11"/>
  <c r="AL79" i="11"/>
  <c r="AK79" i="11"/>
  <c r="AJ79" i="11"/>
  <c r="AS78" i="11"/>
  <c r="AR78" i="11"/>
  <c r="AQ78" i="11"/>
  <c r="AP78" i="11"/>
  <c r="AO78" i="11"/>
  <c r="AN78" i="11"/>
  <c r="AM78" i="11"/>
  <c r="AL78" i="11"/>
  <c r="AK78" i="11"/>
  <c r="AJ78" i="11"/>
  <c r="AS77" i="11"/>
  <c r="AR77" i="11"/>
  <c r="AQ77" i="11"/>
  <c r="AP77" i="11"/>
  <c r="AO77" i="11"/>
  <c r="AN77" i="11"/>
  <c r="AM77" i="11"/>
  <c r="AL77" i="11"/>
  <c r="AK77" i="11"/>
  <c r="AJ77" i="11"/>
  <c r="AS76" i="11"/>
  <c r="AR76" i="11"/>
  <c r="AQ76" i="11"/>
  <c r="AP76" i="11"/>
  <c r="AO76" i="11"/>
  <c r="AN76" i="11"/>
  <c r="AM76" i="11"/>
  <c r="AL76" i="11"/>
  <c r="AK76" i="11"/>
  <c r="AJ76" i="11"/>
  <c r="AS75" i="11"/>
  <c r="AR75" i="11"/>
  <c r="AQ75" i="11"/>
  <c r="AP75" i="11"/>
  <c r="AO75" i="11"/>
  <c r="AN75" i="11"/>
  <c r="AM75" i="11"/>
  <c r="AL75" i="11"/>
  <c r="AK75" i="11"/>
  <c r="AJ75" i="11"/>
  <c r="AS74" i="11"/>
  <c r="AR74" i="11"/>
  <c r="AQ74" i="11"/>
  <c r="AP74" i="11"/>
  <c r="AO74" i="11"/>
  <c r="AN74" i="11"/>
  <c r="AM74" i="11"/>
  <c r="AL74" i="11"/>
  <c r="AK74" i="11"/>
  <c r="AJ74" i="11"/>
  <c r="AS73" i="11"/>
  <c r="AR73" i="11"/>
  <c r="AQ73" i="11"/>
  <c r="AP73" i="11"/>
  <c r="AO73" i="11"/>
  <c r="AN73" i="11"/>
  <c r="AM73" i="11"/>
  <c r="AL73" i="11"/>
  <c r="AK73" i="11"/>
  <c r="AJ73" i="11"/>
  <c r="AS72" i="11"/>
  <c r="AR72" i="11"/>
  <c r="AQ72" i="11"/>
  <c r="AP72" i="11"/>
  <c r="AO72" i="11"/>
  <c r="AN72" i="11"/>
  <c r="AM72" i="11"/>
  <c r="AL72" i="11"/>
  <c r="AK72" i="11"/>
  <c r="AJ72" i="11"/>
  <c r="AS71" i="11"/>
  <c r="AR71" i="11"/>
  <c r="AQ71" i="11"/>
  <c r="AP71" i="11"/>
  <c r="AO71" i="11"/>
  <c r="AN71" i="11"/>
  <c r="AM71" i="11"/>
  <c r="AL71" i="11"/>
  <c r="AK71" i="11"/>
  <c r="AJ71" i="11"/>
  <c r="AS70" i="11"/>
  <c r="AR70" i="11"/>
  <c r="AQ70" i="11"/>
  <c r="AP70" i="11"/>
  <c r="AO70" i="11"/>
  <c r="AN70" i="11"/>
  <c r="AM70" i="11"/>
  <c r="AL70" i="11"/>
  <c r="AK70" i="11"/>
  <c r="AJ70" i="11"/>
  <c r="AS69" i="11"/>
  <c r="AR69" i="11"/>
  <c r="AQ69" i="11"/>
  <c r="AP69" i="11"/>
  <c r="AO69" i="11"/>
  <c r="AN69" i="11"/>
  <c r="AM69" i="11"/>
  <c r="AL69" i="11"/>
  <c r="AK69" i="11"/>
  <c r="AJ69" i="11"/>
  <c r="AS68" i="11"/>
  <c r="AR68" i="11"/>
  <c r="AQ68" i="11"/>
  <c r="AP68" i="11"/>
  <c r="AO68" i="11"/>
  <c r="AN68" i="11"/>
  <c r="AM68" i="11"/>
  <c r="AL68" i="11"/>
  <c r="AK68" i="11"/>
  <c r="AJ68" i="11"/>
  <c r="AS67" i="11"/>
  <c r="AR67" i="11"/>
  <c r="AQ67" i="11"/>
  <c r="AP67" i="11"/>
  <c r="AO67" i="11"/>
  <c r="AN67" i="11"/>
  <c r="AM67" i="11"/>
  <c r="AL67" i="11"/>
  <c r="AK67" i="11"/>
  <c r="AJ67" i="11"/>
  <c r="AS66" i="11"/>
  <c r="AR66" i="11"/>
  <c r="AQ66" i="11"/>
  <c r="AP66" i="11"/>
  <c r="AO66" i="11"/>
  <c r="AN66" i="11"/>
  <c r="AM66" i="11"/>
  <c r="AL66" i="11"/>
  <c r="AK66" i="11"/>
  <c r="AJ66" i="11"/>
  <c r="AS65" i="11"/>
  <c r="AR65" i="11"/>
  <c r="AQ65" i="11"/>
  <c r="AP65" i="11"/>
  <c r="AO65" i="11"/>
  <c r="AN65" i="11"/>
  <c r="AM65" i="11"/>
  <c r="AL65" i="11"/>
  <c r="AK65" i="11"/>
  <c r="AJ65" i="11"/>
  <c r="AS64" i="11"/>
  <c r="AR64" i="11"/>
  <c r="AQ64" i="11"/>
  <c r="AP64" i="11"/>
  <c r="AO64" i="11"/>
  <c r="AN64" i="11"/>
  <c r="AM64" i="11"/>
  <c r="AL64" i="11"/>
  <c r="AK64" i="11"/>
  <c r="AJ64" i="11"/>
  <c r="AS63" i="11"/>
  <c r="AR63" i="11"/>
  <c r="AQ63" i="11"/>
  <c r="AP63" i="11"/>
  <c r="AO63" i="11"/>
  <c r="AN63" i="11"/>
  <c r="AM63" i="11"/>
  <c r="AL63" i="11"/>
  <c r="AK63" i="11"/>
  <c r="AJ63" i="11"/>
  <c r="AS62" i="11"/>
  <c r="AR62" i="11"/>
  <c r="AQ62" i="11"/>
  <c r="AP62" i="11"/>
  <c r="AO62" i="11"/>
  <c r="AN62" i="11"/>
  <c r="AM62" i="11"/>
  <c r="AL62" i="11"/>
  <c r="AK62" i="11"/>
  <c r="AJ62" i="11"/>
  <c r="AS61" i="11"/>
  <c r="AR61" i="11"/>
  <c r="AQ61" i="11"/>
  <c r="AP61" i="11"/>
  <c r="AO61" i="11"/>
  <c r="AN61" i="11"/>
  <c r="AM61" i="11"/>
  <c r="AL61" i="11"/>
  <c r="AK61" i="11"/>
  <c r="AJ61" i="11"/>
  <c r="AS60" i="11"/>
  <c r="AR60" i="11"/>
  <c r="AQ60" i="11"/>
  <c r="AP60" i="11"/>
  <c r="AO60" i="11"/>
  <c r="AN60" i="11"/>
  <c r="AM60" i="11"/>
  <c r="AL60" i="11"/>
  <c r="AK60" i="11"/>
  <c r="AJ60" i="11"/>
  <c r="AS59" i="11"/>
  <c r="AR59" i="11"/>
  <c r="AQ59" i="11"/>
  <c r="AP59" i="11"/>
  <c r="AO59" i="11"/>
  <c r="AN59" i="11"/>
  <c r="AM59" i="11"/>
  <c r="AL59" i="11"/>
  <c r="AK59" i="11"/>
  <c r="AJ59" i="11"/>
  <c r="AS58" i="11"/>
  <c r="AR58" i="11"/>
  <c r="AQ58" i="11"/>
  <c r="AP58" i="11"/>
  <c r="AO58" i="11"/>
  <c r="AN58" i="11"/>
  <c r="AM58" i="11"/>
  <c r="AL58" i="11"/>
  <c r="AK58" i="11"/>
  <c r="AJ58" i="11"/>
  <c r="AS57" i="11"/>
  <c r="AR57" i="11"/>
  <c r="AQ57" i="11"/>
  <c r="AP57" i="11"/>
  <c r="AO57" i="11"/>
  <c r="AN57" i="11"/>
  <c r="AM57" i="11"/>
  <c r="AL57" i="11"/>
  <c r="AK57" i="11"/>
  <c r="AJ57" i="11"/>
  <c r="AS56" i="11"/>
  <c r="AR56" i="11"/>
  <c r="AQ56" i="11"/>
  <c r="AP56" i="11"/>
  <c r="AO56" i="11"/>
  <c r="AN56" i="11"/>
  <c r="AM56" i="11"/>
  <c r="AL56" i="11"/>
  <c r="AK56" i="11"/>
  <c r="AJ56" i="11"/>
  <c r="AS55" i="11"/>
  <c r="AR55" i="11"/>
  <c r="AQ55" i="11"/>
  <c r="AP55" i="11"/>
  <c r="AO55" i="11"/>
  <c r="AN55" i="11"/>
  <c r="AM55" i="11"/>
  <c r="AL55" i="11"/>
  <c r="AK55" i="11"/>
  <c r="AJ55" i="11"/>
  <c r="AS54" i="11"/>
  <c r="AR54" i="11"/>
  <c r="AQ54" i="11"/>
  <c r="AP54" i="11"/>
  <c r="AO54" i="11"/>
  <c r="AN54" i="11"/>
  <c r="AM54" i="11"/>
  <c r="AL54" i="11"/>
  <c r="AK54" i="11"/>
  <c r="AJ54" i="11"/>
  <c r="AS53" i="11"/>
  <c r="AR53" i="11"/>
  <c r="AQ53" i="11"/>
  <c r="AP53" i="11"/>
  <c r="AO53" i="11"/>
  <c r="AN53" i="11"/>
  <c r="AM53" i="11"/>
  <c r="AL53" i="11"/>
  <c r="AK53" i="11"/>
  <c r="AJ53" i="11"/>
  <c r="AS52" i="11"/>
  <c r="AR52" i="11"/>
  <c r="AQ52" i="11"/>
  <c r="AP52" i="11"/>
  <c r="AO52" i="11"/>
  <c r="AN52" i="11"/>
  <c r="AM52" i="11"/>
  <c r="AL52" i="11"/>
  <c r="AK52" i="11"/>
  <c r="AJ52" i="11"/>
  <c r="AS51" i="11"/>
  <c r="AR51" i="11"/>
  <c r="AQ51" i="11"/>
  <c r="AP51" i="11"/>
  <c r="AO51" i="11"/>
  <c r="AN51" i="11"/>
  <c r="AM51" i="11"/>
  <c r="AL51" i="11"/>
  <c r="AK51" i="11"/>
  <c r="AJ51" i="11"/>
  <c r="AS50" i="11"/>
  <c r="AR50" i="11"/>
  <c r="AQ50" i="11"/>
  <c r="AP50" i="11"/>
  <c r="AO50" i="11"/>
  <c r="AN50" i="11"/>
  <c r="AM50" i="11"/>
  <c r="AL50" i="11"/>
  <c r="AK50" i="11"/>
  <c r="AJ50" i="11"/>
  <c r="AS49" i="11"/>
  <c r="AR49" i="11"/>
  <c r="AQ49" i="11"/>
  <c r="AP49" i="11"/>
  <c r="AO49" i="11"/>
  <c r="AN49" i="11"/>
  <c r="AM49" i="11"/>
  <c r="AL49" i="11"/>
  <c r="AK49" i="11"/>
  <c r="AJ49" i="11"/>
  <c r="AS48" i="11"/>
  <c r="AR48" i="11"/>
  <c r="AQ48" i="11"/>
  <c r="AP48" i="11"/>
  <c r="AO48" i="11"/>
  <c r="AN48" i="11"/>
  <c r="AM48" i="11"/>
  <c r="AL48" i="11"/>
  <c r="AK48" i="11"/>
  <c r="AJ48" i="11"/>
  <c r="AS47" i="11"/>
  <c r="AR47" i="11"/>
  <c r="AQ47" i="11"/>
  <c r="AP47" i="11"/>
  <c r="AO47" i="11"/>
  <c r="AN47" i="11"/>
  <c r="AM47" i="11"/>
  <c r="AL47" i="11"/>
  <c r="AK47" i="11"/>
  <c r="AJ47" i="11"/>
  <c r="AS46" i="11"/>
  <c r="AR46" i="11"/>
  <c r="AQ46" i="11"/>
  <c r="AP46" i="11"/>
  <c r="AO46" i="11"/>
  <c r="AN46" i="11"/>
  <c r="AM46" i="11"/>
  <c r="AL46" i="11"/>
  <c r="AK46" i="11"/>
  <c r="AJ46" i="11"/>
  <c r="AS45" i="11"/>
  <c r="AR45" i="11"/>
  <c r="AQ45" i="11"/>
  <c r="AP45" i="11"/>
  <c r="AO45" i="11"/>
  <c r="AN45" i="11"/>
  <c r="AM45" i="11"/>
  <c r="AL45" i="11"/>
  <c r="AK45" i="11"/>
  <c r="AJ45" i="11"/>
  <c r="AS44" i="11"/>
  <c r="AR44" i="11"/>
  <c r="AQ44" i="11"/>
  <c r="AP44" i="11"/>
  <c r="AO44" i="11"/>
  <c r="AN44" i="11"/>
  <c r="AM44" i="11"/>
  <c r="AL44" i="11"/>
  <c r="AK44" i="11"/>
  <c r="AJ44" i="11"/>
  <c r="AS43" i="11"/>
  <c r="AR43" i="11"/>
  <c r="AQ43" i="11"/>
  <c r="AP43" i="11"/>
  <c r="AO43" i="11"/>
  <c r="AN43" i="11"/>
  <c r="AM43" i="11"/>
  <c r="AL43" i="11"/>
  <c r="AK43" i="11"/>
  <c r="AJ43" i="11"/>
  <c r="AS42" i="11"/>
  <c r="AR42" i="11"/>
  <c r="AQ42" i="11"/>
  <c r="AP42" i="11"/>
  <c r="AO42" i="11"/>
  <c r="AN42" i="11"/>
  <c r="AM42" i="11"/>
  <c r="AL42" i="11"/>
  <c r="AK42" i="11"/>
  <c r="AJ42" i="11"/>
  <c r="AS41" i="11"/>
  <c r="AR41" i="11"/>
  <c r="AQ41" i="11"/>
  <c r="AP41" i="11"/>
  <c r="AO41" i="11"/>
  <c r="AN41" i="11"/>
  <c r="AM41" i="11"/>
  <c r="AL41" i="11"/>
  <c r="AK41" i="11"/>
  <c r="AJ41" i="11"/>
  <c r="AS40" i="11"/>
  <c r="AR40" i="11"/>
  <c r="AQ40" i="11"/>
  <c r="AP40" i="11"/>
  <c r="AO40" i="11"/>
  <c r="AN40" i="11"/>
  <c r="AM40" i="11"/>
  <c r="AL40" i="11"/>
  <c r="AK40" i="11"/>
  <c r="AJ40" i="11"/>
  <c r="AS39" i="11"/>
  <c r="AR39" i="11"/>
  <c r="AQ39" i="11"/>
  <c r="AP39" i="11"/>
  <c r="AO39" i="11"/>
  <c r="AN39" i="11"/>
  <c r="AM39" i="11"/>
  <c r="AL39" i="11"/>
  <c r="AK39" i="11"/>
  <c r="AJ39" i="11"/>
  <c r="AS38" i="11"/>
  <c r="AR38" i="11"/>
  <c r="AQ38" i="11"/>
  <c r="AP38" i="11"/>
  <c r="AO38" i="11"/>
  <c r="AN38" i="11"/>
  <c r="AM38" i="11"/>
  <c r="AL38" i="11"/>
  <c r="AK38" i="11"/>
  <c r="AJ38" i="11"/>
  <c r="AS37" i="11"/>
  <c r="AR37" i="11"/>
  <c r="AQ37" i="11"/>
  <c r="AP37" i="11"/>
  <c r="AO37" i="11"/>
  <c r="AN37" i="11"/>
  <c r="AM37" i="11"/>
  <c r="AL37" i="11"/>
  <c r="AK37" i="11"/>
  <c r="AJ37" i="11"/>
  <c r="AS36" i="11"/>
  <c r="AR36" i="11"/>
  <c r="AQ36" i="11"/>
  <c r="AP36" i="11"/>
  <c r="AO36" i="11"/>
  <c r="AN36" i="11"/>
  <c r="AM36" i="11"/>
  <c r="AL36" i="11"/>
  <c r="AK36" i="11"/>
  <c r="AJ36" i="11"/>
  <c r="AS35" i="11"/>
  <c r="AR35" i="11"/>
  <c r="AQ35" i="11"/>
  <c r="AP35" i="11"/>
  <c r="AO35" i="11"/>
  <c r="AN35" i="11"/>
  <c r="AM35" i="11"/>
  <c r="AL35" i="11"/>
  <c r="AK35" i="11"/>
  <c r="AJ35" i="11"/>
  <c r="AS34" i="11"/>
  <c r="AR34" i="11"/>
  <c r="AQ34" i="11"/>
  <c r="AP34" i="11"/>
  <c r="AO34" i="11"/>
  <c r="AN34" i="11"/>
  <c r="AM34" i="11"/>
  <c r="AL34" i="11"/>
  <c r="AK34" i="11"/>
  <c r="AJ34" i="11"/>
  <c r="AS33" i="11"/>
  <c r="AR33" i="11"/>
  <c r="AQ33" i="11"/>
  <c r="AP33" i="11"/>
  <c r="AO33" i="11"/>
  <c r="AN33" i="11"/>
  <c r="AM33" i="11"/>
  <c r="AL33" i="11"/>
  <c r="AK33" i="11"/>
  <c r="AJ33" i="11"/>
  <c r="AS32" i="11"/>
  <c r="AR32" i="11"/>
  <c r="AQ32" i="11"/>
  <c r="AP32" i="11"/>
  <c r="AO32" i="11"/>
  <c r="AN32" i="11"/>
  <c r="AM32" i="11"/>
  <c r="AL32" i="11"/>
  <c r="AK32" i="11"/>
  <c r="AJ32" i="11"/>
  <c r="AS31" i="11"/>
  <c r="AR31" i="11"/>
  <c r="AQ31" i="11"/>
  <c r="AP31" i="11"/>
  <c r="AO31" i="11"/>
  <c r="AN31" i="11"/>
  <c r="AM31" i="11"/>
  <c r="AL31" i="11"/>
  <c r="AK31" i="11"/>
  <c r="AJ31" i="11"/>
  <c r="AS30" i="11"/>
  <c r="AR30" i="11"/>
  <c r="AQ30" i="11"/>
  <c r="AP30" i="11"/>
  <c r="AO30" i="11"/>
  <c r="AN30" i="11"/>
  <c r="AM30" i="11"/>
  <c r="AL30" i="11"/>
  <c r="AK30" i="11"/>
  <c r="AJ30" i="11"/>
  <c r="AS29" i="11"/>
  <c r="AR29" i="11"/>
  <c r="AQ29" i="11"/>
  <c r="AP29" i="11"/>
  <c r="AO29" i="11"/>
  <c r="AN29" i="11"/>
  <c r="AM29" i="11"/>
  <c r="AL29" i="11"/>
  <c r="AK29" i="11"/>
  <c r="AJ29" i="11"/>
  <c r="AS28" i="11"/>
  <c r="AR28" i="11"/>
  <c r="AQ28" i="11"/>
  <c r="AP28" i="11"/>
  <c r="AO28" i="11"/>
  <c r="AN28" i="11"/>
  <c r="AM28" i="11"/>
  <c r="AL28" i="11"/>
  <c r="AK28" i="11"/>
  <c r="AJ28" i="11"/>
  <c r="AS27" i="11"/>
  <c r="AR27" i="11"/>
  <c r="AQ27" i="11"/>
  <c r="AP27" i="11"/>
  <c r="AO27" i="11"/>
  <c r="AN27" i="11"/>
  <c r="AM27" i="11"/>
  <c r="AL27" i="11"/>
  <c r="AK27" i="11"/>
  <c r="AJ27" i="11"/>
  <c r="AS26" i="11"/>
  <c r="AR26" i="11"/>
  <c r="AQ26" i="11"/>
  <c r="AP26" i="11"/>
  <c r="AO26" i="11"/>
  <c r="AN26" i="11"/>
  <c r="AM26" i="11"/>
  <c r="AL26" i="11"/>
  <c r="AK26" i="11"/>
  <c r="AJ26" i="11"/>
  <c r="AS25" i="11"/>
  <c r="AR25" i="11"/>
  <c r="AQ25" i="11"/>
  <c r="AP25" i="11"/>
  <c r="AO25" i="11"/>
  <c r="AN25" i="11"/>
  <c r="AM25" i="11"/>
  <c r="AL25" i="11"/>
  <c r="AK25" i="11"/>
  <c r="AJ25" i="11"/>
  <c r="AS24" i="11"/>
  <c r="AR24" i="11"/>
  <c r="AQ24" i="11"/>
  <c r="AP24" i="11"/>
  <c r="AO24" i="11"/>
  <c r="AN24" i="11"/>
  <c r="AM24" i="11"/>
  <c r="AL24" i="11"/>
  <c r="AK24" i="11"/>
  <c r="AJ24" i="11"/>
  <c r="AS23" i="11"/>
  <c r="AR23" i="11"/>
  <c r="AQ23" i="11"/>
  <c r="AP23" i="11"/>
  <c r="AO23" i="11"/>
  <c r="AN23" i="11"/>
  <c r="AM23" i="11"/>
  <c r="AL23" i="11"/>
  <c r="AK23" i="11"/>
  <c r="AJ23" i="11"/>
  <c r="AS22" i="11"/>
  <c r="AR22" i="11"/>
  <c r="AQ22" i="11"/>
  <c r="AP22" i="11"/>
  <c r="AO22" i="11"/>
  <c r="AN22" i="11"/>
  <c r="AM22" i="11"/>
  <c r="AL22" i="11"/>
  <c r="AK22" i="11"/>
  <c r="AJ22" i="11"/>
  <c r="AS21" i="11"/>
  <c r="AR21" i="11"/>
  <c r="AQ21" i="11"/>
  <c r="AP21" i="11"/>
  <c r="AO21" i="11"/>
  <c r="AN21" i="11"/>
  <c r="AM21" i="11"/>
  <c r="AL21" i="11"/>
  <c r="AK21" i="11"/>
  <c r="AJ21" i="11"/>
  <c r="AS20" i="11"/>
  <c r="AR20" i="11"/>
  <c r="AQ20" i="11"/>
  <c r="AP20" i="11"/>
  <c r="AO20" i="11"/>
  <c r="AN20" i="11"/>
  <c r="AM20" i="11"/>
  <c r="AL20" i="11"/>
  <c r="AK20" i="11"/>
  <c r="AJ20" i="11"/>
  <c r="AS19" i="11"/>
  <c r="AR19" i="11"/>
  <c r="AQ19" i="11"/>
  <c r="AP19" i="11"/>
  <c r="AO19" i="11"/>
  <c r="AN19" i="11"/>
  <c r="AM19" i="11"/>
  <c r="AL19" i="11"/>
  <c r="AK19" i="11"/>
  <c r="AJ19" i="11"/>
  <c r="AS18" i="11"/>
  <c r="AR18" i="11"/>
  <c r="AQ18" i="11"/>
  <c r="AP18" i="11"/>
  <c r="AO18" i="11"/>
  <c r="AN18" i="11"/>
  <c r="AM18" i="11"/>
  <c r="AL18" i="11"/>
  <c r="AK18" i="11"/>
  <c r="AJ18" i="11"/>
  <c r="AS17" i="11"/>
  <c r="AR17" i="11"/>
  <c r="AQ17" i="11"/>
  <c r="AP17" i="11"/>
  <c r="AO17" i="11"/>
  <c r="AN17" i="11"/>
  <c r="AM17" i="11"/>
  <c r="AL17" i="11"/>
  <c r="AK17" i="11"/>
  <c r="AJ17" i="11"/>
  <c r="AS16" i="11"/>
  <c r="AR16" i="11"/>
  <c r="AQ16" i="11"/>
  <c r="AP16" i="11"/>
  <c r="AO16" i="11"/>
  <c r="AN16" i="11"/>
  <c r="AM16" i="11"/>
  <c r="AL16" i="11"/>
  <c r="AK16" i="11"/>
  <c r="AJ16" i="11"/>
  <c r="AS15" i="11"/>
  <c r="AR15" i="11"/>
  <c r="AQ15" i="11"/>
  <c r="AP15" i="11"/>
  <c r="AO15" i="11"/>
  <c r="AN15" i="11"/>
  <c r="AM15" i="11"/>
  <c r="AL15" i="11"/>
  <c r="AK15" i="11"/>
  <c r="AJ15" i="11"/>
  <c r="AS14" i="11"/>
  <c r="AR14" i="11"/>
  <c r="AQ14" i="11"/>
  <c r="AP14" i="11"/>
  <c r="AO14" i="11"/>
  <c r="AN14" i="11"/>
  <c r="AM14" i="11"/>
  <c r="AL14" i="11"/>
  <c r="AK14" i="11"/>
  <c r="AJ14" i="11"/>
  <c r="AS13" i="11"/>
  <c r="AR13" i="11"/>
  <c r="AQ13" i="11"/>
  <c r="AP13" i="11"/>
  <c r="AO13" i="11"/>
  <c r="AN13" i="11"/>
  <c r="AM13" i="11"/>
  <c r="AL13" i="11"/>
  <c r="AK13" i="11"/>
  <c r="AJ13" i="11"/>
  <c r="AS12" i="11"/>
  <c r="AR12" i="11"/>
  <c r="AQ12" i="11"/>
  <c r="AP12" i="11"/>
  <c r="AO12" i="11"/>
  <c r="AN12" i="11"/>
  <c r="AM12" i="11"/>
  <c r="AL12" i="11"/>
  <c r="AK12" i="11"/>
  <c r="AJ12" i="11"/>
  <c r="AS11" i="11"/>
  <c r="AR11" i="11"/>
  <c r="AQ11" i="11"/>
  <c r="AP11" i="11"/>
  <c r="AO11" i="11"/>
  <c r="AN11" i="11"/>
  <c r="AM11" i="11"/>
  <c r="AL11" i="11"/>
  <c r="AK11" i="11"/>
  <c r="AJ11" i="11"/>
  <c r="AS10" i="11"/>
  <c r="AR10" i="11"/>
  <c r="AQ10" i="11"/>
  <c r="AP10" i="11"/>
  <c r="AO10" i="11"/>
  <c r="AN10" i="11"/>
  <c r="AM10" i="11"/>
  <c r="AL10" i="11"/>
  <c r="AK10" i="11"/>
  <c r="AJ10" i="11"/>
  <c r="AS9" i="11"/>
  <c r="AR9" i="11"/>
  <c r="AQ9" i="11"/>
  <c r="AP9" i="11"/>
  <c r="AO9" i="11"/>
  <c r="AN9" i="11"/>
  <c r="AM9" i="11"/>
  <c r="AL9" i="11"/>
  <c r="AK9" i="11"/>
  <c r="AJ9" i="11"/>
  <c r="AS8" i="11"/>
  <c r="AR8" i="11"/>
  <c r="AQ8" i="11"/>
  <c r="AP8" i="11"/>
  <c r="AO8" i="11"/>
  <c r="AN8" i="11"/>
  <c r="AM8" i="11"/>
  <c r="AL8" i="11"/>
  <c r="AK8" i="11"/>
  <c r="AJ8" i="11"/>
  <c r="AS7" i="11"/>
  <c r="AR7" i="11"/>
  <c r="AQ7" i="11"/>
  <c r="AP7" i="11"/>
  <c r="AO7" i="11"/>
  <c r="AN7" i="11"/>
  <c r="AM7" i="11"/>
  <c r="AL7" i="11"/>
  <c r="AK7" i="11"/>
  <c r="AJ7" i="11"/>
  <c r="AS6" i="11"/>
  <c r="AR6" i="11"/>
  <c r="AQ6" i="11"/>
  <c r="AP6" i="11"/>
  <c r="AO6" i="11"/>
  <c r="AN6" i="11"/>
  <c r="AM6" i="11"/>
  <c r="AL6" i="11"/>
  <c r="AK6" i="11"/>
  <c r="AJ6" i="11"/>
  <c r="AS5" i="11"/>
  <c r="AR5" i="11"/>
  <c r="AQ5" i="11"/>
  <c r="AP5" i="11"/>
  <c r="AO5" i="11"/>
  <c r="AN5" i="11"/>
  <c r="AM5" i="11"/>
  <c r="AL5" i="11"/>
  <c r="AK5" i="11"/>
  <c r="AJ5" i="11"/>
  <c r="AS4" i="11"/>
  <c r="AR4" i="11"/>
  <c r="AQ4" i="11"/>
  <c r="AP4" i="11"/>
  <c r="AO4" i="11"/>
  <c r="AN4" i="11"/>
  <c r="AM4" i="11"/>
  <c r="AL4" i="11"/>
  <c r="AK4" i="11"/>
  <c r="AJ4" i="11"/>
  <c r="AS3" i="11"/>
  <c r="AR3" i="11"/>
  <c r="AQ3" i="11"/>
  <c r="AP3" i="11"/>
  <c r="AO3" i="11"/>
  <c r="AN3" i="11"/>
  <c r="AM3" i="11"/>
  <c r="AL3" i="11"/>
  <c r="AK3" i="11"/>
  <c r="AJ3" i="11"/>
  <c r="AS2" i="11"/>
  <c r="AR2" i="11"/>
  <c r="AQ2" i="11"/>
  <c r="AP2" i="11"/>
  <c r="AO2" i="11"/>
  <c r="AN2" i="11"/>
  <c r="AM2" i="11"/>
  <c r="AL2" i="11"/>
  <c r="AK2" i="11"/>
  <c r="AJ2" i="11"/>
  <c r="AS1" i="11"/>
  <c r="AR1" i="11"/>
  <c r="AQ1" i="11"/>
  <c r="AP1" i="11"/>
  <c r="AO1" i="11"/>
  <c r="AN1" i="11"/>
  <c r="AM1" i="11"/>
  <c r="AL1" i="11"/>
  <c r="AK1" i="11"/>
  <c r="AJ1" i="11"/>
  <c r="BI261" i="11"/>
  <c r="BH261" i="11"/>
  <c r="BG261" i="11"/>
  <c r="BF261" i="11"/>
  <c r="BE261" i="11"/>
  <c r="BD261" i="11"/>
  <c r="BC261" i="11"/>
  <c r="BI260" i="11"/>
  <c r="BH260" i="11"/>
  <c r="BG260" i="11"/>
  <c r="BF260" i="11"/>
  <c r="BE260" i="11"/>
  <c r="BD260" i="11"/>
  <c r="BC260" i="11"/>
  <c r="BI259" i="11"/>
  <c r="BH259" i="11"/>
  <c r="BG259" i="11"/>
  <c r="BF259" i="11"/>
  <c r="BE259" i="11"/>
  <c r="BD259" i="11"/>
  <c r="BC259" i="11"/>
  <c r="BI258" i="11"/>
  <c r="BH258" i="11"/>
  <c r="BG258" i="11"/>
  <c r="BF258" i="11"/>
  <c r="BE258" i="11"/>
  <c r="BD258" i="11"/>
  <c r="BC258" i="11"/>
  <c r="BI257" i="11"/>
  <c r="BH257" i="11"/>
  <c r="BG257" i="11"/>
  <c r="BF257" i="11"/>
  <c r="BE257" i="11"/>
  <c r="BD257" i="11"/>
  <c r="BC257" i="11"/>
  <c r="BI256" i="11"/>
  <c r="BH256" i="11"/>
  <c r="BG256" i="11"/>
  <c r="BF256" i="11"/>
  <c r="BE256" i="11"/>
  <c r="BD256" i="11"/>
  <c r="BC256" i="11"/>
  <c r="BI255" i="11"/>
  <c r="BH255" i="11"/>
  <c r="BG255" i="11"/>
  <c r="BF255" i="11"/>
  <c r="BE255" i="11"/>
  <c r="BD255" i="11"/>
  <c r="BC255" i="11"/>
  <c r="BI254" i="11"/>
  <c r="BH254" i="11"/>
  <c r="BG254" i="11"/>
  <c r="BF254" i="11"/>
  <c r="BE254" i="11"/>
  <c r="BD254" i="11"/>
  <c r="BC254" i="11"/>
  <c r="BI253" i="11"/>
  <c r="BH253" i="11"/>
  <c r="BG253" i="11"/>
  <c r="BF253" i="11"/>
  <c r="BE253" i="11"/>
  <c r="BD253" i="11"/>
  <c r="BC253" i="11"/>
  <c r="BI252" i="11"/>
  <c r="BH252" i="11"/>
  <c r="BG252" i="11"/>
  <c r="BF252" i="11"/>
  <c r="BE252" i="11"/>
  <c r="BD252" i="11"/>
  <c r="BC252" i="11"/>
  <c r="BI251" i="11"/>
  <c r="BH251" i="11"/>
  <c r="BG251" i="11"/>
  <c r="BF251" i="11"/>
  <c r="BE251" i="11"/>
  <c r="BD251" i="11"/>
  <c r="BC251" i="11"/>
  <c r="BI250" i="11"/>
  <c r="BH250" i="11"/>
  <c r="BG250" i="11"/>
  <c r="BF250" i="11"/>
  <c r="BE250" i="11"/>
  <c r="BD250" i="11"/>
  <c r="BC250" i="11"/>
  <c r="BI249" i="11"/>
  <c r="BH249" i="11"/>
  <c r="BG249" i="11"/>
  <c r="BF249" i="11"/>
  <c r="BE249" i="11"/>
  <c r="BD249" i="11"/>
  <c r="BC249" i="11"/>
  <c r="BI248" i="11"/>
  <c r="BH248" i="11"/>
  <c r="BG248" i="11"/>
  <c r="BF248" i="11"/>
  <c r="BE248" i="11"/>
  <c r="BD248" i="11"/>
  <c r="BC248" i="11"/>
  <c r="BI247" i="11"/>
  <c r="BH247" i="11"/>
  <c r="BG247" i="11"/>
  <c r="BF247" i="11"/>
  <c r="BE247" i="11"/>
  <c r="BD247" i="11"/>
  <c r="BC247" i="11"/>
  <c r="BI246" i="11"/>
  <c r="BH246" i="11"/>
  <c r="BG246" i="11"/>
  <c r="BF246" i="11"/>
  <c r="BE246" i="11"/>
  <c r="BD246" i="11"/>
  <c r="BC246" i="11"/>
  <c r="BI245" i="11"/>
  <c r="BH245" i="11"/>
  <c r="BG245" i="11"/>
  <c r="BF245" i="11"/>
  <c r="BE245" i="11"/>
  <c r="BD245" i="11"/>
  <c r="BC245" i="11"/>
  <c r="BI244" i="11"/>
  <c r="BH244" i="11"/>
  <c r="BG244" i="11"/>
  <c r="BF244" i="11"/>
  <c r="BE244" i="11"/>
  <c r="BD244" i="11"/>
  <c r="BC244" i="11"/>
  <c r="BI243" i="11"/>
  <c r="BH243" i="11"/>
  <c r="BG243" i="11"/>
  <c r="BF243" i="11"/>
  <c r="BE243" i="11"/>
  <c r="BD243" i="11"/>
  <c r="BC243" i="11"/>
  <c r="BI242" i="11"/>
  <c r="BH242" i="11"/>
  <c r="BG242" i="11"/>
  <c r="BF242" i="11"/>
  <c r="BE242" i="11"/>
  <c r="BD242" i="11"/>
  <c r="BC242" i="11"/>
  <c r="BI241" i="11"/>
  <c r="BH241" i="11"/>
  <c r="BG241" i="11"/>
  <c r="BF241" i="11"/>
  <c r="BE241" i="11"/>
  <c r="BD241" i="11"/>
  <c r="BC241" i="11"/>
  <c r="BI240" i="11"/>
  <c r="BH240" i="11"/>
  <c r="BG240" i="11"/>
  <c r="BF240" i="11"/>
  <c r="BE240" i="11"/>
  <c r="BD240" i="11"/>
  <c r="BC240" i="11"/>
  <c r="BI239" i="11"/>
  <c r="BH239" i="11"/>
  <c r="BG239" i="11"/>
  <c r="BF239" i="11"/>
  <c r="BE239" i="11"/>
  <c r="BD239" i="11"/>
  <c r="BC239" i="11"/>
  <c r="BI238" i="11"/>
  <c r="BH238" i="11"/>
  <c r="BG238" i="11"/>
  <c r="BF238" i="11"/>
  <c r="BE238" i="11"/>
  <c r="BD238" i="11"/>
  <c r="BC238" i="11"/>
  <c r="BI237" i="11"/>
  <c r="BH237" i="11"/>
  <c r="BG237" i="11"/>
  <c r="BF237" i="11"/>
  <c r="BE237" i="11"/>
  <c r="BD237" i="11"/>
  <c r="BC237" i="11"/>
  <c r="BI236" i="11"/>
  <c r="BH236" i="11"/>
  <c r="BG236" i="11"/>
  <c r="BF236" i="11"/>
  <c r="BE236" i="11"/>
  <c r="BD236" i="11"/>
  <c r="BC236" i="11"/>
  <c r="BI235" i="11"/>
  <c r="BH235" i="11"/>
  <c r="BG235" i="11"/>
  <c r="BF235" i="11"/>
  <c r="BE235" i="11"/>
  <c r="BD235" i="11"/>
  <c r="BC235" i="11"/>
  <c r="BI234" i="11"/>
  <c r="BH234" i="11"/>
  <c r="BG234" i="11"/>
  <c r="BF234" i="11"/>
  <c r="BE234" i="11"/>
  <c r="BD234" i="11"/>
  <c r="BC234" i="11"/>
  <c r="BI233" i="11"/>
  <c r="BH233" i="11"/>
  <c r="BG233" i="11"/>
  <c r="BF233" i="11"/>
  <c r="BE233" i="11"/>
  <c r="BD233" i="11"/>
  <c r="BC233" i="11"/>
  <c r="BI232" i="11"/>
  <c r="BH232" i="11"/>
  <c r="BG232" i="11"/>
  <c r="BF232" i="11"/>
  <c r="BE232" i="11"/>
  <c r="BD232" i="11"/>
  <c r="BC232" i="11"/>
  <c r="BI231" i="11"/>
  <c r="BH231" i="11"/>
  <c r="BG231" i="11"/>
  <c r="BF231" i="11"/>
  <c r="BE231" i="11"/>
  <c r="BD231" i="11"/>
  <c r="BC231" i="11"/>
  <c r="BI230" i="11"/>
  <c r="BH230" i="11"/>
  <c r="BG230" i="11"/>
  <c r="BF230" i="11"/>
  <c r="BE230" i="11"/>
  <c r="BD230" i="11"/>
  <c r="BC230" i="11"/>
  <c r="BI229" i="11"/>
  <c r="BH229" i="11"/>
  <c r="BG229" i="11"/>
  <c r="BF229" i="11"/>
  <c r="BE229" i="11"/>
  <c r="BD229" i="11"/>
  <c r="BC229" i="11"/>
  <c r="BI228" i="11"/>
  <c r="BH228" i="11"/>
  <c r="BG228" i="11"/>
  <c r="BF228" i="11"/>
  <c r="BE228" i="11"/>
  <c r="BD228" i="11"/>
  <c r="BC228" i="11"/>
  <c r="BI227" i="11"/>
  <c r="BH227" i="11"/>
  <c r="BG227" i="11"/>
  <c r="BF227" i="11"/>
  <c r="BE227" i="11"/>
  <c r="BD227" i="11"/>
  <c r="BC227" i="11"/>
  <c r="BI226" i="11"/>
  <c r="BH226" i="11"/>
  <c r="BG226" i="11"/>
  <c r="BF226" i="11"/>
  <c r="BE226" i="11"/>
  <c r="BD226" i="11"/>
  <c r="BC226" i="11"/>
  <c r="BI225" i="11"/>
  <c r="BH225" i="11"/>
  <c r="BG225" i="11"/>
  <c r="BF225" i="11"/>
  <c r="BE225" i="11"/>
  <c r="BD225" i="11"/>
  <c r="BC225" i="11"/>
  <c r="BI224" i="11"/>
  <c r="BH224" i="11"/>
  <c r="BG224" i="11"/>
  <c r="BF224" i="11"/>
  <c r="BE224" i="11"/>
  <c r="BD224" i="11"/>
  <c r="BC224" i="11"/>
  <c r="BI223" i="11"/>
  <c r="BH223" i="11"/>
  <c r="BG223" i="11"/>
  <c r="BF223" i="11"/>
  <c r="BE223" i="11"/>
  <c r="BD223" i="11"/>
  <c r="BC223" i="11"/>
  <c r="BI222" i="11"/>
  <c r="BH222" i="11"/>
  <c r="BG222" i="11"/>
  <c r="BF222" i="11"/>
  <c r="BE222" i="11"/>
  <c r="BD222" i="11"/>
  <c r="BC222" i="11"/>
  <c r="BI221" i="11"/>
  <c r="BH221" i="11"/>
  <c r="BG221" i="11"/>
  <c r="BF221" i="11"/>
  <c r="BE221" i="11"/>
  <c r="BD221" i="11"/>
  <c r="BC221" i="11"/>
  <c r="BI220" i="11"/>
  <c r="BH220" i="11"/>
  <c r="BG220" i="11"/>
  <c r="BF220" i="11"/>
  <c r="BE220" i="11"/>
  <c r="BD220" i="11"/>
  <c r="BC220" i="11"/>
  <c r="BI219" i="11"/>
  <c r="BH219" i="11"/>
  <c r="BG219" i="11"/>
  <c r="BF219" i="11"/>
  <c r="BE219" i="11"/>
  <c r="BD219" i="11"/>
  <c r="BC219" i="11"/>
  <c r="BI218" i="11"/>
  <c r="BH218" i="11"/>
  <c r="BG218" i="11"/>
  <c r="BF218" i="11"/>
  <c r="BE218" i="11"/>
  <c r="BD218" i="11"/>
  <c r="BC218" i="11"/>
  <c r="BI217" i="11"/>
  <c r="BH217" i="11"/>
  <c r="BG217" i="11"/>
  <c r="BF217" i="11"/>
  <c r="BE217" i="11"/>
  <c r="BD217" i="11"/>
  <c r="BC217" i="11"/>
  <c r="BI216" i="11"/>
  <c r="BH216" i="11"/>
  <c r="BG216" i="11"/>
  <c r="BF216" i="11"/>
  <c r="BE216" i="11"/>
  <c r="BD216" i="11"/>
  <c r="BC216" i="11"/>
  <c r="BI215" i="11"/>
  <c r="BH215" i="11"/>
  <c r="BG215" i="11"/>
  <c r="BF215" i="11"/>
  <c r="BE215" i="11"/>
  <c r="BD215" i="11"/>
  <c r="BC215" i="11"/>
  <c r="BI214" i="11"/>
  <c r="BH214" i="11"/>
  <c r="BG214" i="11"/>
  <c r="BF214" i="11"/>
  <c r="BE214" i="11"/>
  <c r="BD214" i="11"/>
  <c r="BC214" i="11"/>
  <c r="BI213" i="11"/>
  <c r="BH213" i="11"/>
  <c r="BG213" i="11"/>
  <c r="BF213" i="11"/>
  <c r="BE213" i="11"/>
  <c r="BD213" i="11"/>
  <c r="BC213" i="11"/>
  <c r="BI212" i="11"/>
  <c r="BH212" i="11"/>
  <c r="BG212" i="11"/>
  <c r="BF212" i="11"/>
  <c r="BE212" i="11"/>
  <c r="BD212" i="11"/>
  <c r="BC212" i="11"/>
  <c r="BI211" i="11"/>
  <c r="BH211" i="11"/>
  <c r="BG211" i="11"/>
  <c r="BF211" i="11"/>
  <c r="BE211" i="11"/>
  <c r="BD211" i="11"/>
  <c r="BC211" i="11"/>
  <c r="BI210" i="11"/>
  <c r="BH210" i="11"/>
  <c r="BG210" i="11"/>
  <c r="BF210" i="11"/>
  <c r="BE210" i="11"/>
  <c r="BD210" i="11"/>
  <c r="BC210" i="11"/>
  <c r="BI209" i="11"/>
  <c r="BH209" i="11"/>
  <c r="BG209" i="11"/>
  <c r="BF209" i="11"/>
  <c r="BE209" i="11"/>
  <c r="BD209" i="11"/>
  <c r="BC209" i="11"/>
  <c r="BI208" i="11"/>
  <c r="BH208" i="11"/>
  <c r="BG208" i="11"/>
  <c r="BF208" i="11"/>
  <c r="BE208" i="11"/>
  <c r="BD208" i="11"/>
  <c r="BC208" i="11"/>
  <c r="BI207" i="11"/>
  <c r="BH207" i="11"/>
  <c r="BG207" i="11"/>
  <c r="BF207" i="11"/>
  <c r="BE207" i="11"/>
  <c r="BD207" i="11"/>
  <c r="BC207" i="11"/>
  <c r="BI206" i="11"/>
  <c r="BH206" i="11"/>
  <c r="BG206" i="11"/>
  <c r="BF206" i="11"/>
  <c r="BE206" i="11"/>
  <c r="BD206" i="11"/>
  <c r="BC206" i="11"/>
  <c r="BI205" i="11"/>
  <c r="BH205" i="11"/>
  <c r="BG205" i="11"/>
  <c r="BF205" i="11"/>
  <c r="BE205" i="11"/>
  <c r="BD205" i="11"/>
  <c r="BC205" i="11"/>
  <c r="BI204" i="11"/>
  <c r="BH204" i="11"/>
  <c r="BG204" i="11"/>
  <c r="BF204" i="11"/>
  <c r="BE204" i="11"/>
  <c r="BD204" i="11"/>
  <c r="BC204" i="11"/>
  <c r="BI203" i="11"/>
  <c r="BH203" i="11"/>
  <c r="BG203" i="11"/>
  <c r="BF203" i="11"/>
  <c r="BE203" i="11"/>
  <c r="BD203" i="11"/>
  <c r="BC203" i="11"/>
  <c r="BI202" i="11"/>
  <c r="BH202" i="11"/>
  <c r="BG202" i="11"/>
  <c r="BF202" i="11"/>
  <c r="BE202" i="11"/>
  <c r="BD202" i="11"/>
  <c r="BC202" i="11"/>
  <c r="BI201" i="11"/>
  <c r="BH201" i="11"/>
  <c r="BG201" i="11"/>
  <c r="BF201" i="11"/>
  <c r="BE201" i="11"/>
  <c r="BD201" i="11"/>
  <c r="BC201" i="11"/>
  <c r="BI200" i="11"/>
  <c r="BH200" i="11"/>
  <c r="BG200" i="11"/>
  <c r="BF200" i="11"/>
  <c r="BE200" i="11"/>
  <c r="BD200" i="11"/>
  <c r="BC200" i="11"/>
  <c r="BI199" i="11"/>
  <c r="BH199" i="11"/>
  <c r="BG199" i="11"/>
  <c r="BF199" i="11"/>
  <c r="BE199" i="11"/>
  <c r="BD199" i="11"/>
  <c r="BC199" i="11"/>
  <c r="BI198" i="11"/>
  <c r="BH198" i="11"/>
  <c r="BG198" i="11"/>
  <c r="BF198" i="11"/>
  <c r="BE198" i="11"/>
  <c r="BD198" i="11"/>
  <c r="BC198" i="11"/>
  <c r="BI197" i="11"/>
  <c r="BH197" i="11"/>
  <c r="BG197" i="11"/>
  <c r="BF197" i="11"/>
  <c r="BE197" i="11"/>
  <c r="BD197" i="11"/>
  <c r="BC197" i="11"/>
  <c r="BI196" i="11"/>
  <c r="BH196" i="11"/>
  <c r="BG196" i="11"/>
  <c r="BF196" i="11"/>
  <c r="BE196" i="11"/>
  <c r="BD196" i="11"/>
  <c r="BC196" i="11"/>
  <c r="BI195" i="11"/>
  <c r="BH195" i="11"/>
  <c r="BG195" i="11"/>
  <c r="BF195" i="11"/>
  <c r="BE195" i="11"/>
  <c r="BD195" i="11"/>
  <c r="BC195" i="11"/>
  <c r="BI194" i="11"/>
  <c r="BH194" i="11"/>
  <c r="BG194" i="11"/>
  <c r="BF194" i="11"/>
  <c r="BE194" i="11"/>
  <c r="BD194" i="11"/>
  <c r="BC194" i="11"/>
  <c r="BI193" i="11"/>
  <c r="BH193" i="11"/>
  <c r="BG193" i="11"/>
  <c r="BF193" i="11"/>
  <c r="BE193" i="11"/>
  <c r="BD193" i="11"/>
  <c r="BC193" i="11"/>
  <c r="BI192" i="11"/>
  <c r="BH192" i="11"/>
  <c r="BG192" i="11"/>
  <c r="BF192" i="11"/>
  <c r="BE192" i="11"/>
  <c r="BD192" i="11"/>
  <c r="BC192" i="11"/>
  <c r="BI191" i="11"/>
  <c r="BH191" i="11"/>
  <c r="BG191" i="11"/>
  <c r="BF191" i="11"/>
  <c r="BE191" i="11"/>
  <c r="BD191" i="11"/>
  <c r="BC191" i="11"/>
  <c r="BI190" i="11"/>
  <c r="BH190" i="11"/>
  <c r="BG190" i="11"/>
  <c r="BF190" i="11"/>
  <c r="BE190" i="11"/>
  <c r="BD190" i="11"/>
  <c r="BC190" i="11"/>
  <c r="BI189" i="11"/>
  <c r="BH189" i="11"/>
  <c r="BG189" i="11"/>
  <c r="BF189" i="11"/>
  <c r="BE189" i="11"/>
  <c r="BD189" i="11"/>
  <c r="BC189" i="11"/>
  <c r="BI188" i="11"/>
  <c r="BH188" i="11"/>
  <c r="BG188" i="11"/>
  <c r="BF188" i="11"/>
  <c r="BE188" i="11"/>
  <c r="BD188" i="11"/>
  <c r="BC188" i="11"/>
  <c r="BI187" i="11"/>
  <c r="BH187" i="11"/>
  <c r="BG187" i="11"/>
  <c r="BF187" i="11"/>
  <c r="BE187" i="11"/>
  <c r="BD187" i="11"/>
  <c r="BC187" i="11"/>
  <c r="BI186" i="11"/>
  <c r="BH186" i="11"/>
  <c r="BG186" i="11"/>
  <c r="BF186" i="11"/>
  <c r="BE186" i="11"/>
  <c r="BD186" i="11"/>
  <c r="BC186" i="11"/>
  <c r="BI185" i="11"/>
  <c r="BH185" i="11"/>
  <c r="BG185" i="11"/>
  <c r="BF185" i="11"/>
  <c r="BE185" i="11"/>
  <c r="BD185" i="11"/>
  <c r="BC185" i="11"/>
  <c r="BI184" i="11"/>
  <c r="BH184" i="11"/>
  <c r="BG184" i="11"/>
  <c r="BF184" i="11"/>
  <c r="BE184" i="11"/>
  <c r="BD184" i="11"/>
  <c r="BC184" i="11"/>
  <c r="BI183" i="11"/>
  <c r="BH183" i="11"/>
  <c r="BG183" i="11"/>
  <c r="BF183" i="11"/>
  <c r="BE183" i="11"/>
  <c r="BD183" i="11"/>
  <c r="BC183" i="11"/>
  <c r="BI182" i="11"/>
  <c r="BH182" i="11"/>
  <c r="BG182" i="11"/>
  <c r="BF182" i="11"/>
  <c r="BE182" i="11"/>
  <c r="BD182" i="11"/>
  <c r="BC182" i="11"/>
  <c r="BI181" i="11"/>
  <c r="BH181" i="11"/>
  <c r="BG181" i="11"/>
  <c r="BF181" i="11"/>
  <c r="BE181" i="11"/>
  <c r="BD181" i="11"/>
  <c r="BC181" i="11"/>
  <c r="BI180" i="11"/>
  <c r="BH180" i="11"/>
  <c r="BG180" i="11"/>
  <c r="BF180" i="11"/>
  <c r="BE180" i="11"/>
  <c r="BD180" i="11"/>
  <c r="BC180" i="11"/>
  <c r="BI179" i="11"/>
  <c r="BH179" i="11"/>
  <c r="BG179" i="11"/>
  <c r="BF179" i="11"/>
  <c r="BE179" i="11"/>
  <c r="BD179" i="11"/>
  <c r="BC179" i="11"/>
  <c r="BI178" i="11"/>
  <c r="BH178" i="11"/>
  <c r="BG178" i="11"/>
  <c r="BF178" i="11"/>
  <c r="BE178" i="11"/>
  <c r="BD178" i="11"/>
  <c r="BC178" i="11"/>
  <c r="BI177" i="11"/>
  <c r="BH177" i="11"/>
  <c r="BG177" i="11"/>
  <c r="BF177" i="11"/>
  <c r="BE177" i="11"/>
  <c r="BD177" i="11"/>
  <c r="BC177" i="11"/>
  <c r="BI176" i="11"/>
  <c r="BH176" i="11"/>
  <c r="BG176" i="11"/>
  <c r="BF176" i="11"/>
  <c r="BE176" i="11"/>
  <c r="BD176" i="11"/>
  <c r="BC176" i="11"/>
  <c r="BI175" i="11"/>
  <c r="BH175" i="11"/>
  <c r="BG175" i="11"/>
  <c r="BF175" i="11"/>
  <c r="BE175" i="11"/>
  <c r="BD175" i="11"/>
  <c r="BC175" i="11"/>
  <c r="BI174" i="11"/>
  <c r="BH174" i="11"/>
  <c r="BG174" i="11"/>
  <c r="BF174" i="11"/>
  <c r="BE174" i="11"/>
  <c r="BD174" i="11"/>
  <c r="BC174" i="11"/>
  <c r="BI173" i="11"/>
  <c r="BH173" i="11"/>
  <c r="BG173" i="11"/>
  <c r="BF173" i="11"/>
  <c r="BE173" i="11"/>
  <c r="BD173" i="11"/>
  <c r="BC173" i="11"/>
  <c r="BI172" i="11"/>
  <c r="BH172" i="11"/>
  <c r="BG172" i="11"/>
  <c r="BF172" i="11"/>
  <c r="BE172" i="11"/>
  <c r="BD172" i="11"/>
  <c r="BC172" i="11"/>
  <c r="BI171" i="11"/>
  <c r="BH171" i="11"/>
  <c r="BG171" i="11"/>
  <c r="BF171" i="11"/>
  <c r="BE171" i="11"/>
  <c r="BD171" i="11"/>
  <c r="BC171" i="11"/>
  <c r="BI170" i="11"/>
  <c r="BH170" i="11"/>
  <c r="BG170" i="11"/>
  <c r="BF170" i="11"/>
  <c r="BE170" i="11"/>
  <c r="BD170" i="11"/>
  <c r="BC170" i="11"/>
  <c r="BI169" i="11"/>
  <c r="BH169" i="11"/>
  <c r="BG169" i="11"/>
  <c r="BF169" i="11"/>
  <c r="BE169" i="11"/>
  <c r="BD169" i="11"/>
  <c r="BC169" i="11"/>
  <c r="BI168" i="11"/>
  <c r="BH168" i="11"/>
  <c r="BG168" i="11"/>
  <c r="BF168" i="11"/>
  <c r="BE168" i="11"/>
  <c r="BD168" i="11"/>
  <c r="BC168" i="11"/>
  <c r="BI167" i="11"/>
  <c r="BH167" i="11"/>
  <c r="BG167" i="11"/>
  <c r="BF167" i="11"/>
  <c r="BE167" i="11"/>
  <c r="BD167" i="11"/>
  <c r="BC167" i="11"/>
  <c r="BI166" i="11"/>
  <c r="BH166" i="11"/>
  <c r="BG166" i="11"/>
  <c r="BF166" i="11"/>
  <c r="BE166" i="11"/>
  <c r="BD166" i="11"/>
  <c r="BC166" i="11"/>
  <c r="BI165" i="11"/>
  <c r="BH165" i="11"/>
  <c r="BG165" i="11"/>
  <c r="BF165" i="11"/>
  <c r="BE165" i="11"/>
  <c r="BD165" i="11"/>
  <c r="BC165" i="11"/>
  <c r="BI164" i="11"/>
  <c r="BH164" i="11"/>
  <c r="BG164" i="11"/>
  <c r="BF164" i="11"/>
  <c r="BE164" i="11"/>
  <c r="BD164" i="11"/>
  <c r="BC164" i="11"/>
  <c r="BI163" i="11"/>
  <c r="BH163" i="11"/>
  <c r="BG163" i="11"/>
  <c r="BF163" i="11"/>
  <c r="BE163" i="11"/>
  <c r="BD163" i="11"/>
  <c r="BC163" i="11"/>
  <c r="BI162" i="11"/>
  <c r="BH162" i="11"/>
  <c r="BG162" i="11"/>
  <c r="BF162" i="11"/>
  <c r="BE162" i="11"/>
  <c r="BD162" i="11"/>
  <c r="BC162" i="11"/>
  <c r="BI161" i="11"/>
  <c r="BH161" i="11"/>
  <c r="BG161" i="11"/>
  <c r="BF161" i="11"/>
  <c r="BE161" i="11"/>
  <c r="BD161" i="11"/>
  <c r="BC161" i="11"/>
  <c r="BI160" i="11"/>
  <c r="BH160" i="11"/>
  <c r="BG160" i="11"/>
  <c r="BF160" i="11"/>
  <c r="BE160" i="11"/>
  <c r="BD160" i="11"/>
  <c r="BC160" i="11"/>
  <c r="BI159" i="11"/>
  <c r="BH159" i="11"/>
  <c r="BG159" i="11"/>
  <c r="BF159" i="11"/>
  <c r="BE159" i="11"/>
  <c r="BD159" i="11"/>
  <c r="BC159" i="11"/>
  <c r="BI158" i="11"/>
  <c r="BH158" i="11"/>
  <c r="BG158" i="11"/>
  <c r="BF158" i="11"/>
  <c r="BE158" i="11"/>
  <c r="BD158" i="11"/>
  <c r="BC158" i="11"/>
  <c r="BI157" i="11"/>
  <c r="BH157" i="11"/>
  <c r="BG157" i="11"/>
  <c r="BF157" i="11"/>
  <c r="BE157" i="11"/>
  <c r="BD157" i="11"/>
  <c r="BC157" i="11"/>
  <c r="BI156" i="11"/>
  <c r="BH156" i="11"/>
  <c r="BG156" i="11"/>
  <c r="BF156" i="11"/>
  <c r="BE156" i="11"/>
  <c r="BD156" i="11"/>
  <c r="BC156" i="11"/>
  <c r="BI155" i="11"/>
  <c r="BH155" i="11"/>
  <c r="BG155" i="11"/>
  <c r="BF155" i="11"/>
  <c r="BE155" i="11"/>
  <c r="BD155" i="11"/>
  <c r="BC155" i="11"/>
  <c r="BI154" i="11"/>
  <c r="BH154" i="11"/>
  <c r="BG154" i="11"/>
  <c r="BF154" i="11"/>
  <c r="BE154" i="11"/>
  <c r="BD154" i="11"/>
  <c r="BC154" i="11"/>
  <c r="BI153" i="11"/>
  <c r="BH153" i="11"/>
  <c r="BG153" i="11"/>
  <c r="BF153" i="11"/>
  <c r="BE153" i="11"/>
  <c r="BD153" i="11"/>
  <c r="BC153" i="11"/>
  <c r="BI152" i="11"/>
  <c r="BH152" i="11"/>
  <c r="BG152" i="11"/>
  <c r="BF152" i="11"/>
  <c r="BE152" i="11"/>
  <c r="BD152" i="11"/>
  <c r="BC152" i="11"/>
  <c r="BI151" i="11"/>
  <c r="BH151" i="11"/>
  <c r="BG151" i="11"/>
  <c r="BF151" i="11"/>
  <c r="BE151" i="11"/>
  <c r="BD151" i="11"/>
  <c r="BC151" i="11"/>
  <c r="BI150" i="11"/>
  <c r="BH150" i="11"/>
  <c r="BG150" i="11"/>
  <c r="BF150" i="11"/>
  <c r="BE150" i="11"/>
  <c r="BD150" i="11"/>
  <c r="BC150" i="11"/>
  <c r="BI149" i="11"/>
  <c r="BH149" i="11"/>
  <c r="BG149" i="11"/>
  <c r="BF149" i="11"/>
  <c r="BE149" i="11"/>
  <c r="BD149" i="11"/>
  <c r="BC149" i="11"/>
  <c r="BI148" i="11"/>
  <c r="BH148" i="11"/>
  <c r="BG148" i="11"/>
  <c r="BF148" i="11"/>
  <c r="BE148" i="11"/>
  <c r="BD148" i="11"/>
  <c r="BC148" i="11"/>
  <c r="BI147" i="11"/>
  <c r="BH147" i="11"/>
  <c r="BG147" i="11"/>
  <c r="BF147" i="11"/>
  <c r="BE147" i="11"/>
  <c r="BD147" i="11"/>
  <c r="BC147" i="11"/>
  <c r="BI146" i="11"/>
  <c r="BH146" i="11"/>
  <c r="BG146" i="11"/>
  <c r="BF146" i="11"/>
  <c r="BE146" i="11"/>
  <c r="BD146" i="11"/>
  <c r="BC146" i="11"/>
  <c r="BI145" i="11"/>
  <c r="BH145" i="11"/>
  <c r="BG145" i="11"/>
  <c r="BF145" i="11"/>
  <c r="BE145" i="11"/>
  <c r="BD145" i="11"/>
  <c r="BC145" i="11"/>
  <c r="BI144" i="11"/>
  <c r="BH144" i="11"/>
  <c r="BG144" i="11"/>
  <c r="BF144" i="11"/>
  <c r="BE144" i="11"/>
  <c r="BD144" i="11"/>
  <c r="BC144" i="11"/>
  <c r="BI143" i="11"/>
  <c r="BH143" i="11"/>
  <c r="BG143" i="11"/>
  <c r="BF143" i="11"/>
  <c r="BE143" i="11"/>
  <c r="BD143" i="11"/>
  <c r="BC143" i="11"/>
  <c r="BI142" i="11"/>
  <c r="BH142" i="11"/>
  <c r="BG142" i="11"/>
  <c r="BF142" i="11"/>
  <c r="BE142" i="11"/>
  <c r="BD142" i="11"/>
  <c r="BC142" i="11"/>
  <c r="BI141" i="11"/>
  <c r="BH141" i="11"/>
  <c r="BG141" i="11"/>
  <c r="BF141" i="11"/>
  <c r="BE141" i="11"/>
  <c r="BD141" i="11"/>
  <c r="BC141" i="11"/>
  <c r="BI140" i="11"/>
  <c r="BH140" i="11"/>
  <c r="BG140" i="11"/>
  <c r="BF140" i="11"/>
  <c r="BE140" i="11"/>
  <c r="BD140" i="11"/>
  <c r="BC140" i="11"/>
  <c r="BI139" i="11"/>
  <c r="BH139" i="11"/>
  <c r="BG139" i="11"/>
  <c r="BF139" i="11"/>
  <c r="BE139" i="11"/>
  <c r="BD139" i="11"/>
  <c r="BC139" i="11"/>
  <c r="BI138" i="11"/>
  <c r="BH138" i="11"/>
  <c r="BG138" i="11"/>
  <c r="BF138" i="11"/>
  <c r="BE138" i="11"/>
  <c r="BD138" i="11"/>
  <c r="BC138" i="11"/>
  <c r="BI137" i="11"/>
  <c r="BH137" i="11"/>
  <c r="BG137" i="11"/>
  <c r="BF137" i="11"/>
  <c r="BE137" i="11"/>
  <c r="BD137" i="11"/>
  <c r="BC137" i="11"/>
  <c r="BI136" i="11"/>
  <c r="BH136" i="11"/>
  <c r="BG136" i="11"/>
  <c r="BF136" i="11"/>
  <c r="BE136" i="11"/>
  <c r="BD136" i="11"/>
  <c r="BC136" i="11"/>
  <c r="BI135" i="11"/>
  <c r="BH135" i="11"/>
  <c r="BG135" i="11"/>
  <c r="BF135" i="11"/>
  <c r="BE135" i="11"/>
  <c r="BD135" i="11"/>
  <c r="BC135" i="11"/>
  <c r="BI134" i="11"/>
  <c r="BH134" i="11"/>
  <c r="BG134" i="11"/>
  <c r="BF134" i="11"/>
  <c r="BE134" i="11"/>
  <c r="BD134" i="11"/>
  <c r="BC134" i="11"/>
  <c r="BI133" i="11"/>
  <c r="BH133" i="11"/>
  <c r="BG133" i="11"/>
  <c r="BF133" i="11"/>
  <c r="BE133" i="11"/>
  <c r="BD133" i="11"/>
  <c r="BC133" i="11"/>
  <c r="BI132" i="11"/>
  <c r="BH132" i="11"/>
  <c r="BG132" i="11"/>
  <c r="BF132" i="11"/>
  <c r="BE132" i="11"/>
  <c r="BD132" i="11"/>
  <c r="BC132" i="11"/>
  <c r="BI131" i="11"/>
  <c r="BH131" i="11"/>
  <c r="BG131" i="11"/>
  <c r="BF131" i="11"/>
  <c r="BE131" i="11"/>
  <c r="BD131" i="11"/>
  <c r="BC131" i="11"/>
  <c r="BI130" i="11"/>
  <c r="BH130" i="11"/>
  <c r="BG130" i="11"/>
  <c r="BF130" i="11"/>
  <c r="BE130" i="11"/>
  <c r="BD130" i="11"/>
  <c r="BC130" i="11"/>
  <c r="BI129" i="11"/>
  <c r="BH129" i="11"/>
  <c r="BG129" i="11"/>
  <c r="BF129" i="11"/>
  <c r="BE129" i="11"/>
  <c r="BD129" i="11"/>
  <c r="BC129" i="11"/>
  <c r="BI128" i="11"/>
  <c r="BH128" i="11"/>
  <c r="BG128" i="11"/>
  <c r="BF128" i="11"/>
  <c r="BE128" i="11"/>
  <c r="BD128" i="11"/>
  <c r="BC128" i="11"/>
  <c r="BI127" i="11"/>
  <c r="BH127" i="11"/>
  <c r="BG127" i="11"/>
  <c r="BF127" i="11"/>
  <c r="BE127" i="11"/>
  <c r="BD127" i="11"/>
  <c r="BC127" i="11"/>
  <c r="BI126" i="11"/>
  <c r="BH126" i="11"/>
  <c r="BG126" i="11"/>
  <c r="BF126" i="11"/>
  <c r="BE126" i="11"/>
  <c r="BD126" i="11"/>
  <c r="BC126" i="11"/>
  <c r="BI125" i="11"/>
  <c r="BH125" i="11"/>
  <c r="BG125" i="11"/>
  <c r="BF125" i="11"/>
  <c r="BE125" i="11"/>
  <c r="BD125" i="11"/>
  <c r="BC125" i="11"/>
  <c r="BI124" i="11"/>
  <c r="BH124" i="11"/>
  <c r="BG124" i="11"/>
  <c r="BF124" i="11"/>
  <c r="BE124" i="11"/>
  <c r="BD124" i="11"/>
  <c r="BC124" i="11"/>
  <c r="BI123" i="11"/>
  <c r="BH123" i="11"/>
  <c r="BG123" i="11"/>
  <c r="BF123" i="11"/>
  <c r="BE123" i="11"/>
  <c r="BD123" i="11"/>
  <c r="BC123" i="11"/>
  <c r="BI122" i="11"/>
  <c r="BH122" i="11"/>
  <c r="BG122" i="11"/>
  <c r="BF122" i="11"/>
  <c r="BE122" i="11"/>
  <c r="BD122" i="11"/>
  <c r="BC122" i="11"/>
  <c r="BI121" i="11"/>
  <c r="BH121" i="11"/>
  <c r="BG121" i="11"/>
  <c r="BF121" i="11"/>
  <c r="BE121" i="11"/>
  <c r="BD121" i="11"/>
  <c r="BC121" i="11"/>
  <c r="BI120" i="11"/>
  <c r="BH120" i="11"/>
  <c r="BG120" i="11"/>
  <c r="BF120" i="11"/>
  <c r="BE120" i="11"/>
  <c r="BD120" i="11"/>
  <c r="BC120" i="11"/>
  <c r="BI119" i="11"/>
  <c r="BH119" i="11"/>
  <c r="BG119" i="11"/>
  <c r="BF119" i="11"/>
  <c r="BE119" i="11"/>
  <c r="BD119" i="11"/>
  <c r="BC119" i="11"/>
  <c r="BI118" i="11"/>
  <c r="BH118" i="11"/>
  <c r="BG118" i="11"/>
  <c r="BF118" i="11"/>
  <c r="BE118" i="11"/>
  <c r="BD118" i="11"/>
  <c r="BC118" i="11"/>
  <c r="BI117" i="11"/>
  <c r="BH117" i="11"/>
  <c r="BG117" i="11"/>
  <c r="BF117" i="11"/>
  <c r="BE117" i="11"/>
  <c r="BD117" i="11"/>
  <c r="BC117" i="11"/>
  <c r="BI116" i="11"/>
  <c r="BH116" i="11"/>
  <c r="BG116" i="11"/>
  <c r="BF116" i="11"/>
  <c r="BE116" i="11"/>
  <c r="BD116" i="11"/>
  <c r="BC116" i="11"/>
  <c r="BI115" i="11"/>
  <c r="BH115" i="11"/>
  <c r="BG115" i="11"/>
  <c r="BF115" i="11"/>
  <c r="BE115" i="11"/>
  <c r="BD115" i="11"/>
  <c r="BC115" i="11"/>
  <c r="BI114" i="11"/>
  <c r="BH114" i="11"/>
  <c r="BG114" i="11"/>
  <c r="BF114" i="11"/>
  <c r="BE114" i="11"/>
  <c r="BD114" i="11"/>
  <c r="BC114" i="11"/>
  <c r="BI113" i="11"/>
  <c r="BH113" i="11"/>
  <c r="BG113" i="11"/>
  <c r="BF113" i="11"/>
  <c r="BE113" i="11"/>
  <c r="BD113" i="11"/>
  <c r="BC113" i="11"/>
  <c r="BI112" i="11"/>
  <c r="BH112" i="11"/>
  <c r="BG112" i="11"/>
  <c r="BF112" i="11"/>
  <c r="BE112" i="11"/>
  <c r="BD112" i="11"/>
  <c r="BC112" i="11"/>
  <c r="BI111" i="11"/>
  <c r="BH111" i="11"/>
  <c r="BG111" i="11"/>
  <c r="BF111" i="11"/>
  <c r="BE111" i="11"/>
  <c r="BD111" i="11"/>
  <c r="BC111" i="11"/>
  <c r="BI110" i="11"/>
  <c r="BH110" i="11"/>
  <c r="BG110" i="11"/>
  <c r="BF110" i="11"/>
  <c r="BE110" i="11"/>
  <c r="BD110" i="11"/>
  <c r="BC110" i="11"/>
  <c r="BI109" i="11"/>
  <c r="BH109" i="11"/>
  <c r="BG109" i="11"/>
  <c r="BF109" i="11"/>
  <c r="BE109" i="11"/>
  <c r="BD109" i="11"/>
  <c r="BC109" i="11"/>
  <c r="BI108" i="11"/>
  <c r="BH108" i="11"/>
  <c r="BG108" i="11"/>
  <c r="BF108" i="11"/>
  <c r="BE108" i="11"/>
  <c r="BD108" i="11"/>
  <c r="BC108" i="11"/>
  <c r="BI107" i="11"/>
  <c r="BH107" i="11"/>
  <c r="BG107" i="11"/>
  <c r="BF107" i="11"/>
  <c r="BE107" i="11"/>
  <c r="BD107" i="11"/>
  <c r="BC107" i="11"/>
  <c r="BI106" i="11"/>
  <c r="BH106" i="11"/>
  <c r="BG106" i="11"/>
  <c r="BF106" i="11"/>
  <c r="BE106" i="11"/>
  <c r="BD106" i="11"/>
  <c r="BC106" i="11"/>
  <c r="BI105" i="11"/>
  <c r="BH105" i="11"/>
  <c r="BG105" i="11"/>
  <c r="BF105" i="11"/>
  <c r="BE105" i="11"/>
  <c r="BD105" i="11"/>
  <c r="BC105" i="11"/>
  <c r="BI104" i="11"/>
  <c r="BH104" i="11"/>
  <c r="BG104" i="11"/>
  <c r="BF104" i="11"/>
  <c r="BE104" i="11"/>
  <c r="BD104" i="11"/>
  <c r="BC104" i="11"/>
  <c r="BI103" i="11"/>
  <c r="BH103" i="11"/>
  <c r="BG103" i="11"/>
  <c r="BF103" i="11"/>
  <c r="BE103" i="11"/>
  <c r="BD103" i="11"/>
  <c r="BC103" i="11"/>
  <c r="BI102" i="11"/>
  <c r="BH102" i="11"/>
  <c r="BG102" i="11"/>
  <c r="BF102" i="11"/>
  <c r="BE102" i="11"/>
  <c r="BD102" i="11"/>
  <c r="BC102" i="11"/>
  <c r="BI101" i="11"/>
  <c r="BH101" i="11"/>
  <c r="BG101" i="11"/>
  <c r="BF101" i="11"/>
  <c r="BE101" i="11"/>
  <c r="BD101" i="11"/>
  <c r="BC101" i="11"/>
  <c r="BI100" i="11"/>
  <c r="BH100" i="11"/>
  <c r="BG100" i="11"/>
  <c r="BF100" i="11"/>
  <c r="BE100" i="11"/>
  <c r="BD100" i="11"/>
  <c r="BC100" i="11"/>
  <c r="BI99" i="11"/>
  <c r="BH99" i="11"/>
  <c r="BG99" i="11"/>
  <c r="BF99" i="11"/>
  <c r="BE99" i="11"/>
  <c r="BD99" i="11"/>
  <c r="BC99" i="11"/>
  <c r="BI98" i="11"/>
  <c r="BH98" i="11"/>
  <c r="BG98" i="11"/>
  <c r="BF98" i="11"/>
  <c r="BE98" i="11"/>
  <c r="BD98" i="11"/>
  <c r="BC98" i="11"/>
  <c r="BI97" i="11"/>
  <c r="BH97" i="11"/>
  <c r="BG97" i="11"/>
  <c r="BF97" i="11"/>
  <c r="BE97" i="11"/>
  <c r="BD97" i="11"/>
  <c r="BC97" i="11"/>
  <c r="BI96" i="11"/>
  <c r="BH96" i="11"/>
  <c r="BG96" i="11"/>
  <c r="BF96" i="11"/>
  <c r="BE96" i="11"/>
  <c r="BD96" i="11"/>
  <c r="BC96" i="11"/>
  <c r="BI95" i="11"/>
  <c r="BH95" i="11"/>
  <c r="BG95" i="11"/>
  <c r="BF95" i="11"/>
  <c r="BE95" i="11"/>
  <c r="BD95" i="11"/>
  <c r="BC95" i="11"/>
  <c r="BI94" i="11"/>
  <c r="BH94" i="11"/>
  <c r="BG94" i="11"/>
  <c r="BF94" i="11"/>
  <c r="BE94" i="11"/>
  <c r="BD94" i="11"/>
  <c r="BC94" i="11"/>
  <c r="BI93" i="11"/>
  <c r="BH93" i="11"/>
  <c r="BG93" i="11"/>
  <c r="BF93" i="11"/>
  <c r="BE93" i="11"/>
  <c r="BD93" i="11"/>
  <c r="BC93" i="11"/>
  <c r="BI92" i="11"/>
  <c r="BH92" i="11"/>
  <c r="BG92" i="11"/>
  <c r="BF92" i="11"/>
  <c r="BE92" i="11"/>
  <c r="BD92" i="11"/>
  <c r="BC92" i="11"/>
  <c r="BI91" i="11"/>
  <c r="BH91" i="11"/>
  <c r="BG91" i="11"/>
  <c r="BF91" i="11"/>
  <c r="BE91" i="11"/>
  <c r="BD91" i="11"/>
  <c r="BC91" i="11"/>
  <c r="BI90" i="11"/>
  <c r="BH90" i="11"/>
  <c r="BG90" i="11"/>
  <c r="BF90" i="11"/>
  <c r="BE90" i="11"/>
  <c r="BD90" i="11"/>
  <c r="BC90" i="11"/>
  <c r="BI89" i="11"/>
  <c r="BH89" i="11"/>
  <c r="BG89" i="11"/>
  <c r="BF89" i="11"/>
  <c r="BE89" i="11"/>
  <c r="BD89" i="11"/>
  <c r="BC89" i="11"/>
  <c r="BI88" i="11"/>
  <c r="BH88" i="11"/>
  <c r="BG88" i="11"/>
  <c r="BF88" i="11"/>
  <c r="BE88" i="11"/>
  <c r="BD88" i="11"/>
  <c r="BC88" i="11"/>
  <c r="BI87" i="11"/>
  <c r="BH87" i="11"/>
  <c r="BG87" i="11"/>
  <c r="BF87" i="11"/>
  <c r="BE87" i="11"/>
  <c r="BD87" i="11"/>
  <c r="BC87" i="11"/>
  <c r="BI86" i="11"/>
  <c r="BH86" i="11"/>
  <c r="BG86" i="11"/>
  <c r="BF86" i="11"/>
  <c r="BE86" i="11"/>
  <c r="BD86" i="11"/>
  <c r="BC86" i="11"/>
  <c r="BI85" i="11"/>
  <c r="BH85" i="11"/>
  <c r="BG85" i="11"/>
  <c r="BF85" i="11"/>
  <c r="BE85" i="11"/>
  <c r="BD85" i="11"/>
  <c r="BC85" i="11"/>
  <c r="BI84" i="11"/>
  <c r="BH84" i="11"/>
  <c r="BG84" i="11"/>
  <c r="BF84" i="11"/>
  <c r="BE84" i="11"/>
  <c r="BD84" i="11"/>
  <c r="BC84" i="11"/>
  <c r="BI83" i="11"/>
  <c r="BH83" i="11"/>
  <c r="BG83" i="11"/>
  <c r="BF83" i="11"/>
  <c r="BE83" i="11"/>
  <c r="BD83" i="11"/>
  <c r="BC83" i="11"/>
  <c r="BI82" i="11"/>
  <c r="BH82" i="11"/>
  <c r="BG82" i="11"/>
  <c r="BF82" i="11"/>
  <c r="BE82" i="11"/>
  <c r="BD82" i="11"/>
  <c r="BC82" i="11"/>
  <c r="BI81" i="11"/>
  <c r="BH81" i="11"/>
  <c r="BG81" i="11"/>
  <c r="BF81" i="11"/>
  <c r="BE81" i="11"/>
  <c r="BD81" i="11"/>
  <c r="BC81" i="11"/>
  <c r="BI80" i="11"/>
  <c r="BH80" i="11"/>
  <c r="BG80" i="11"/>
  <c r="BF80" i="11"/>
  <c r="BE80" i="11"/>
  <c r="BD80" i="11"/>
  <c r="BC80" i="11"/>
  <c r="BI79" i="11"/>
  <c r="BH79" i="11"/>
  <c r="BG79" i="11"/>
  <c r="BF79" i="11"/>
  <c r="BE79" i="11"/>
  <c r="BD79" i="11"/>
  <c r="BC79" i="11"/>
  <c r="BI78" i="11"/>
  <c r="BH78" i="11"/>
  <c r="BG78" i="11"/>
  <c r="BF78" i="11"/>
  <c r="BE78" i="11"/>
  <c r="BD78" i="11"/>
  <c r="BC78" i="11"/>
  <c r="BI77" i="11"/>
  <c r="BH77" i="11"/>
  <c r="BG77" i="11"/>
  <c r="BF77" i="11"/>
  <c r="BE77" i="11"/>
  <c r="BD77" i="11"/>
  <c r="BC77" i="11"/>
  <c r="BI76" i="11"/>
  <c r="BH76" i="11"/>
  <c r="BG76" i="11"/>
  <c r="BF76" i="11"/>
  <c r="BE76" i="11"/>
  <c r="BD76" i="11"/>
  <c r="BC76" i="11"/>
  <c r="BI75" i="11"/>
  <c r="BH75" i="11"/>
  <c r="BG75" i="11"/>
  <c r="BF75" i="11"/>
  <c r="BE75" i="11"/>
  <c r="BD75" i="11"/>
  <c r="BC75" i="11"/>
  <c r="BI74" i="11"/>
  <c r="BH74" i="11"/>
  <c r="BG74" i="11"/>
  <c r="BF74" i="11"/>
  <c r="BE74" i="11"/>
  <c r="BD74" i="11"/>
  <c r="BC74" i="11"/>
  <c r="BI73" i="11"/>
  <c r="BH73" i="11"/>
  <c r="BG73" i="11"/>
  <c r="BF73" i="11"/>
  <c r="BE73" i="11"/>
  <c r="BD73" i="11"/>
  <c r="BC73" i="11"/>
  <c r="BI72" i="11"/>
  <c r="BH72" i="11"/>
  <c r="BG72" i="11"/>
  <c r="BF72" i="11"/>
  <c r="BE72" i="11"/>
  <c r="BD72" i="11"/>
  <c r="BC72" i="11"/>
  <c r="BI71" i="11"/>
  <c r="BH71" i="11"/>
  <c r="BG71" i="11"/>
  <c r="BF71" i="11"/>
  <c r="BE71" i="11"/>
  <c r="BD71" i="11"/>
  <c r="BC71" i="11"/>
  <c r="BI70" i="11"/>
  <c r="BH70" i="11"/>
  <c r="BG70" i="11"/>
  <c r="BF70" i="11"/>
  <c r="BE70" i="11"/>
  <c r="BD70" i="11"/>
  <c r="BC70" i="11"/>
  <c r="BI69" i="11"/>
  <c r="BH69" i="11"/>
  <c r="BG69" i="11"/>
  <c r="BF69" i="11"/>
  <c r="BE69" i="11"/>
  <c r="BD69" i="11"/>
  <c r="BC69" i="11"/>
  <c r="BI68" i="11"/>
  <c r="BH68" i="11"/>
  <c r="BG68" i="11"/>
  <c r="BF68" i="11"/>
  <c r="BE68" i="11"/>
  <c r="BD68" i="11"/>
  <c r="BC68" i="11"/>
  <c r="BI67" i="11"/>
  <c r="BH67" i="11"/>
  <c r="BG67" i="11"/>
  <c r="BF67" i="11"/>
  <c r="BE67" i="11"/>
  <c r="BD67" i="11"/>
  <c r="BC67" i="11"/>
  <c r="BI66" i="11"/>
  <c r="BH66" i="11"/>
  <c r="BG66" i="11"/>
  <c r="BF66" i="11"/>
  <c r="BE66" i="11"/>
  <c r="BD66" i="11"/>
  <c r="BC66" i="11"/>
  <c r="BI65" i="11"/>
  <c r="BH65" i="11"/>
  <c r="BG65" i="11"/>
  <c r="BF65" i="11"/>
  <c r="BE65" i="11"/>
  <c r="BD65" i="11"/>
  <c r="BC65" i="11"/>
  <c r="BI64" i="11"/>
  <c r="BH64" i="11"/>
  <c r="BG64" i="11"/>
  <c r="BF64" i="11"/>
  <c r="BE64" i="11"/>
  <c r="BD64" i="11"/>
  <c r="BC64" i="11"/>
  <c r="BI63" i="11"/>
  <c r="BH63" i="11"/>
  <c r="BG63" i="11"/>
  <c r="BF63" i="11"/>
  <c r="BE63" i="11"/>
  <c r="BD63" i="11"/>
  <c r="BC63" i="11"/>
  <c r="BI62" i="11"/>
  <c r="BH62" i="11"/>
  <c r="BG62" i="11"/>
  <c r="BF62" i="11"/>
  <c r="BE62" i="11"/>
  <c r="BD62" i="11"/>
  <c r="BC62" i="11"/>
  <c r="BI61" i="11"/>
  <c r="BH61" i="11"/>
  <c r="BG61" i="11"/>
  <c r="BF61" i="11"/>
  <c r="BE61" i="11"/>
  <c r="BD61" i="11"/>
  <c r="BC61" i="11"/>
  <c r="BI60" i="11"/>
  <c r="BH60" i="11"/>
  <c r="BG60" i="11"/>
  <c r="BF60" i="11"/>
  <c r="BE60" i="11"/>
  <c r="BD60" i="11"/>
  <c r="BC60" i="11"/>
  <c r="BI59" i="11"/>
  <c r="BH59" i="11"/>
  <c r="BG59" i="11"/>
  <c r="BF59" i="11"/>
  <c r="BE59" i="11"/>
  <c r="BD59" i="11"/>
  <c r="BC59" i="11"/>
  <c r="BI58" i="11"/>
  <c r="BH58" i="11"/>
  <c r="BG58" i="11"/>
  <c r="BF58" i="11"/>
  <c r="BE58" i="11"/>
  <c r="BD58" i="11"/>
  <c r="BC58" i="11"/>
  <c r="BI57" i="11"/>
  <c r="BH57" i="11"/>
  <c r="BG57" i="11"/>
  <c r="BF57" i="11"/>
  <c r="BE57" i="11"/>
  <c r="BD57" i="11"/>
  <c r="BC57" i="11"/>
  <c r="BI56" i="11"/>
  <c r="BH56" i="11"/>
  <c r="BG56" i="11"/>
  <c r="BF56" i="11"/>
  <c r="BE56" i="11"/>
  <c r="BD56" i="11"/>
  <c r="BC56" i="11"/>
  <c r="BI55" i="11"/>
  <c r="BH55" i="11"/>
  <c r="BG55" i="11"/>
  <c r="BF55" i="11"/>
  <c r="BE55" i="11"/>
  <c r="BD55" i="11"/>
  <c r="BC55" i="11"/>
  <c r="BI54" i="11"/>
  <c r="BH54" i="11"/>
  <c r="BG54" i="11"/>
  <c r="BF54" i="11"/>
  <c r="BE54" i="11"/>
  <c r="BD54" i="11"/>
  <c r="BC54" i="11"/>
  <c r="BI53" i="11"/>
  <c r="BH53" i="11"/>
  <c r="BG53" i="11"/>
  <c r="BF53" i="11"/>
  <c r="BE53" i="11"/>
  <c r="BD53" i="11"/>
  <c r="BC53" i="11"/>
  <c r="BI52" i="11"/>
  <c r="BH52" i="11"/>
  <c r="BG52" i="11"/>
  <c r="BF52" i="11"/>
  <c r="BE52" i="11"/>
  <c r="BD52" i="11"/>
  <c r="BC52" i="11"/>
  <c r="BI51" i="11"/>
  <c r="BH51" i="11"/>
  <c r="BG51" i="11"/>
  <c r="BF51" i="11"/>
  <c r="BE51" i="11"/>
  <c r="BD51" i="11"/>
  <c r="BC51" i="11"/>
  <c r="BI50" i="11"/>
  <c r="BH50" i="11"/>
  <c r="BG50" i="11"/>
  <c r="BF50" i="11"/>
  <c r="BE50" i="11"/>
  <c r="BD50" i="11"/>
  <c r="BC50" i="11"/>
  <c r="BI49" i="11"/>
  <c r="BH49" i="11"/>
  <c r="BG49" i="11"/>
  <c r="BF49" i="11"/>
  <c r="BE49" i="11"/>
  <c r="BD49" i="11"/>
  <c r="BC49" i="11"/>
  <c r="BI48" i="11"/>
  <c r="BH48" i="11"/>
  <c r="BG48" i="11"/>
  <c r="BF48" i="11"/>
  <c r="BE48" i="11"/>
  <c r="BD48" i="11"/>
  <c r="BC48" i="11"/>
  <c r="BI47" i="11"/>
  <c r="BH47" i="11"/>
  <c r="BG47" i="11"/>
  <c r="BF47" i="11"/>
  <c r="BE47" i="11"/>
  <c r="BD47" i="11"/>
  <c r="BC47" i="11"/>
  <c r="BI46" i="11"/>
  <c r="BH46" i="11"/>
  <c r="BG46" i="11"/>
  <c r="BF46" i="11"/>
  <c r="BE46" i="11"/>
  <c r="BD46" i="11"/>
  <c r="BC46" i="11"/>
  <c r="BI45" i="11"/>
  <c r="BH45" i="11"/>
  <c r="BG45" i="11"/>
  <c r="BF45" i="11"/>
  <c r="BE45" i="11"/>
  <c r="BD45" i="11"/>
  <c r="BC45" i="11"/>
  <c r="BI44" i="11"/>
  <c r="BH44" i="11"/>
  <c r="BG44" i="11"/>
  <c r="BF44" i="11"/>
  <c r="BE44" i="11"/>
  <c r="BD44" i="11"/>
  <c r="BC44" i="11"/>
  <c r="BI43" i="11"/>
  <c r="BH43" i="11"/>
  <c r="BG43" i="11"/>
  <c r="BF43" i="11"/>
  <c r="BE43" i="11"/>
  <c r="BD43" i="11"/>
  <c r="BC43" i="11"/>
  <c r="BI42" i="11"/>
  <c r="BH42" i="11"/>
  <c r="BG42" i="11"/>
  <c r="BF42" i="11"/>
  <c r="BE42" i="11"/>
  <c r="BD42" i="11"/>
  <c r="BC42" i="11"/>
  <c r="BI41" i="11"/>
  <c r="BH41" i="11"/>
  <c r="BG41" i="11"/>
  <c r="BF41" i="11"/>
  <c r="BE41" i="11"/>
  <c r="BD41" i="11"/>
  <c r="BC41" i="11"/>
  <c r="BI40" i="11"/>
  <c r="BH40" i="11"/>
  <c r="BG40" i="11"/>
  <c r="BF40" i="11"/>
  <c r="BE40" i="11"/>
  <c r="BD40" i="11"/>
  <c r="BC40" i="11"/>
  <c r="BI39" i="11"/>
  <c r="BH39" i="11"/>
  <c r="BG39" i="11"/>
  <c r="BF39" i="11"/>
  <c r="BE39" i="11"/>
  <c r="BD39" i="11"/>
  <c r="BC39" i="11"/>
  <c r="BI38" i="11"/>
  <c r="BH38" i="11"/>
  <c r="BG38" i="11"/>
  <c r="BF38" i="11"/>
  <c r="BE38" i="11"/>
  <c r="BD38" i="11"/>
  <c r="BC38" i="11"/>
  <c r="BI37" i="11"/>
  <c r="BH37" i="11"/>
  <c r="BG37" i="11"/>
  <c r="BF37" i="11"/>
  <c r="BE37" i="11"/>
  <c r="BD37" i="11"/>
  <c r="BC37" i="11"/>
  <c r="BI36" i="11"/>
  <c r="BH36" i="11"/>
  <c r="BG36" i="11"/>
  <c r="BF36" i="11"/>
  <c r="BE36" i="11"/>
  <c r="BD36" i="11"/>
  <c r="BC36" i="11"/>
  <c r="BI35" i="11"/>
  <c r="BH35" i="11"/>
  <c r="BG35" i="11"/>
  <c r="BF35" i="11"/>
  <c r="BE35" i="11"/>
  <c r="BD35" i="11"/>
  <c r="BC35" i="11"/>
  <c r="BI34" i="11"/>
  <c r="BH34" i="11"/>
  <c r="BG34" i="11"/>
  <c r="BF34" i="11"/>
  <c r="BE34" i="11"/>
  <c r="BD34" i="11"/>
  <c r="BC34" i="11"/>
  <c r="BI33" i="11"/>
  <c r="BH33" i="11"/>
  <c r="BG33" i="11"/>
  <c r="BF33" i="11"/>
  <c r="BE33" i="11"/>
  <c r="BD33" i="11"/>
  <c r="BC33" i="11"/>
  <c r="BI32" i="11"/>
  <c r="BH32" i="11"/>
  <c r="BG32" i="11"/>
  <c r="BF32" i="11"/>
  <c r="BE32" i="11"/>
  <c r="BD32" i="11"/>
  <c r="BC32" i="11"/>
  <c r="BI31" i="11"/>
  <c r="BH31" i="11"/>
  <c r="BG31" i="11"/>
  <c r="BF31" i="11"/>
  <c r="BE31" i="11"/>
  <c r="BD31" i="11"/>
  <c r="BC31" i="11"/>
  <c r="BI30" i="11"/>
  <c r="BH30" i="11"/>
  <c r="BG30" i="11"/>
  <c r="BF30" i="11"/>
  <c r="BE30" i="11"/>
  <c r="BD30" i="11"/>
  <c r="BC30" i="11"/>
  <c r="BI29" i="11"/>
  <c r="BH29" i="11"/>
  <c r="BG29" i="11"/>
  <c r="BF29" i="11"/>
  <c r="BE29" i="11"/>
  <c r="BD29" i="11"/>
  <c r="BC29" i="11"/>
  <c r="BI28" i="11"/>
  <c r="BH28" i="11"/>
  <c r="BG28" i="11"/>
  <c r="BF28" i="11"/>
  <c r="BE28" i="11"/>
  <c r="BD28" i="11"/>
  <c r="BC28" i="11"/>
  <c r="BI27" i="11"/>
  <c r="BH27" i="11"/>
  <c r="BG27" i="11"/>
  <c r="BF27" i="11"/>
  <c r="BE27" i="11"/>
  <c r="BD27" i="11"/>
  <c r="BC27" i="11"/>
  <c r="BI26" i="11"/>
  <c r="BH26" i="11"/>
  <c r="BG26" i="11"/>
  <c r="BF26" i="11"/>
  <c r="BE26" i="11"/>
  <c r="BD26" i="11"/>
  <c r="BC26" i="11"/>
  <c r="BI25" i="11"/>
  <c r="BH25" i="11"/>
  <c r="BG25" i="11"/>
  <c r="BF25" i="11"/>
  <c r="BE25" i="11"/>
  <c r="BD25" i="11"/>
  <c r="BC25" i="11"/>
  <c r="BI24" i="11"/>
  <c r="BH24" i="11"/>
  <c r="BG24" i="11"/>
  <c r="BF24" i="11"/>
  <c r="BE24" i="11"/>
  <c r="BD24" i="11"/>
  <c r="BC24" i="11"/>
  <c r="BI23" i="11"/>
  <c r="BH23" i="11"/>
  <c r="BG23" i="11"/>
  <c r="BF23" i="11"/>
  <c r="BE23" i="11"/>
  <c r="BD23" i="11"/>
  <c r="BC23" i="11"/>
  <c r="BI22" i="11"/>
  <c r="BH22" i="11"/>
  <c r="BG22" i="11"/>
  <c r="BF22" i="11"/>
  <c r="BE22" i="11"/>
  <c r="BD22" i="11"/>
  <c r="BC22" i="11"/>
  <c r="BI21" i="11"/>
  <c r="BH21" i="11"/>
  <c r="BG21" i="11"/>
  <c r="BF21" i="11"/>
  <c r="BE21" i="11"/>
  <c r="BD21" i="11"/>
  <c r="BC21" i="11"/>
  <c r="BI20" i="11"/>
  <c r="BH20" i="11"/>
  <c r="BG20" i="11"/>
  <c r="BF20" i="11"/>
  <c r="BE20" i="11"/>
  <c r="BD20" i="11"/>
  <c r="BC20" i="11"/>
  <c r="BI19" i="11"/>
  <c r="BH19" i="11"/>
  <c r="BG19" i="11"/>
  <c r="BF19" i="11"/>
  <c r="BE19" i="11"/>
  <c r="BD19" i="11"/>
  <c r="BC19" i="11"/>
  <c r="BI18" i="11"/>
  <c r="BH18" i="11"/>
  <c r="BG18" i="11"/>
  <c r="BF18" i="11"/>
  <c r="BE18" i="11"/>
  <c r="BD18" i="11"/>
  <c r="BC18" i="11"/>
  <c r="BI17" i="11"/>
  <c r="BH17" i="11"/>
  <c r="BG17" i="11"/>
  <c r="BF17" i="11"/>
  <c r="BE17" i="11"/>
  <c r="BD17" i="11"/>
  <c r="BC17" i="11"/>
  <c r="BI16" i="11"/>
  <c r="BH16" i="11"/>
  <c r="BG16" i="11"/>
  <c r="BF16" i="11"/>
  <c r="BE16" i="11"/>
  <c r="BD16" i="11"/>
  <c r="BC16" i="11"/>
  <c r="BI15" i="11"/>
  <c r="BH15" i="11"/>
  <c r="BG15" i="11"/>
  <c r="BF15" i="11"/>
  <c r="BE15" i="11"/>
  <c r="BD15" i="11"/>
  <c r="BC15" i="11"/>
  <c r="BI14" i="11"/>
  <c r="BH14" i="11"/>
  <c r="BG14" i="11"/>
  <c r="BF14" i="11"/>
  <c r="BE14" i="11"/>
  <c r="BD14" i="11"/>
  <c r="BC14" i="11"/>
  <c r="BI13" i="11"/>
  <c r="BH13" i="11"/>
  <c r="BG13" i="11"/>
  <c r="BF13" i="11"/>
  <c r="BE13" i="11"/>
  <c r="BD13" i="11"/>
  <c r="BC13" i="11"/>
  <c r="BI12" i="11"/>
  <c r="BH12" i="11"/>
  <c r="BG12" i="11"/>
  <c r="BF12" i="11"/>
  <c r="BE12" i="11"/>
  <c r="BD12" i="11"/>
  <c r="BC12" i="11"/>
  <c r="BI11" i="11"/>
  <c r="BH11" i="11"/>
  <c r="BG11" i="11"/>
  <c r="BF11" i="11"/>
  <c r="BE11" i="11"/>
  <c r="BD11" i="11"/>
  <c r="BC11" i="11"/>
  <c r="BI10" i="11"/>
  <c r="BH10" i="11"/>
  <c r="BG10" i="11"/>
  <c r="BF10" i="11"/>
  <c r="BE10" i="11"/>
  <c r="BD10" i="11"/>
  <c r="BC10" i="11"/>
  <c r="BI9" i="11"/>
  <c r="BH9" i="11"/>
  <c r="BG9" i="11"/>
  <c r="BF9" i="11"/>
  <c r="BE9" i="11"/>
  <c r="BD9" i="11"/>
  <c r="BC9" i="11"/>
  <c r="BI8" i="11"/>
  <c r="BH8" i="11"/>
  <c r="BG8" i="11"/>
  <c r="BF8" i="11"/>
  <c r="BE8" i="11"/>
  <c r="BD8" i="11"/>
  <c r="BC8" i="11"/>
  <c r="BI7" i="11"/>
  <c r="BH7" i="11"/>
  <c r="BG7" i="11"/>
  <c r="BF7" i="11"/>
  <c r="BE7" i="11"/>
  <c r="BD7" i="11"/>
  <c r="BC7" i="11"/>
  <c r="BI6" i="11"/>
  <c r="BH6" i="11"/>
  <c r="BG6" i="11"/>
  <c r="BF6" i="11"/>
  <c r="BE6" i="11"/>
  <c r="BD6" i="11"/>
  <c r="BC6" i="11"/>
  <c r="BI5" i="11"/>
  <c r="BH5" i="11"/>
  <c r="BG5" i="11"/>
  <c r="BF5" i="11"/>
  <c r="BE5" i="11"/>
  <c r="BD5" i="11"/>
  <c r="BC5" i="11"/>
  <c r="BI4" i="11"/>
  <c r="BH4" i="11"/>
  <c r="BG4" i="11"/>
  <c r="BF4" i="11"/>
  <c r="BE4" i="11"/>
  <c r="BD4" i="11"/>
  <c r="BC4" i="11"/>
  <c r="BI3" i="11"/>
  <c r="BH3" i="11"/>
  <c r="BG3" i="11"/>
  <c r="BF3" i="11"/>
  <c r="BE3" i="11"/>
  <c r="BD3" i="11"/>
  <c r="BC3" i="11"/>
  <c r="BI2" i="11"/>
  <c r="BH2" i="11"/>
  <c r="BG2" i="11"/>
  <c r="BF2" i="11"/>
  <c r="BE2" i="11"/>
  <c r="BD2" i="11"/>
  <c r="BC2" i="11"/>
  <c r="BI1" i="11"/>
  <c r="BH1" i="11"/>
  <c r="BG1" i="11"/>
  <c r="BF1" i="11"/>
  <c r="BE1" i="11"/>
  <c r="BD1" i="11"/>
  <c r="BC1" i="11"/>
  <c r="B110" i="10" l="1"/>
  <c r="AE2" i="11"/>
  <c r="AE3" i="11"/>
  <c r="AE4" i="11"/>
  <c r="AE5" i="11"/>
  <c r="AH5" i="11"/>
  <c r="AE6" i="11"/>
  <c r="AE7" i="11"/>
  <c r="AE8" i="11"/>
  <c r="AE9" i="11"/>
  <c r="AH9" i="11"/>
  <c r="AE10" i="11"/>
  <c r="AG10" i="11"/>
  <c r="AE11" i="11"/>
  <c r="AH11" i="11"/>
  <c r="AE12" i="11"/>
  <c r="AE13" i="11"/>
  <c r="N2" i="10"/>
  <c r="AH13" i="11"/>
  <c r="AI13" i="11"/>
  <c r="AH14" i="11"/>
  <c r="AQ103" i="11"/>
  <c r="AH15" i="11"/>
  <c r="AH16" i="11"/>
  <c r="AH17" i="11"/>
  <c r="AI18" i="11"/>
  <c r="AH19" i="11"/>
  <c r="AI20" i="11"/>
  <c r="AH21" i="11"/>
  <c r="AH23" i="11"/>
  <c r="AH25" i="11"/>
  <c r="AH27" i="11"/>
  <c r="AH29" i="11"/>
  <c r="AH31" i="11"/>
  <c r="AH33" i="11"/>
  <c r="AI34" i="11"/>
  <c r="AH35" i="11"/>
  <c r="AH37" i="11"/>
  <c r="AH39" i="11"/>
  <c r="AH41" i="11"/>
  <c r="AI43" i="11"/>
  <c r="AG44" i="11"/>
  <c r="AH45" i="11"/>
  <c r="AI46" i="11"/>
  <c r="AH47" i="11"/>
  <c r="AI47" i="11"/>
  <c r="AG48" i="11"/>
  <c r="AH49" i="11"/>
  <c r="AI50" i="11"/>
  <c r="AH51" i="11"/>
  <c r="AI51" i="11"/>
  <c r="AH52" i="11"/>
  <c r="AH53" i="11"/>
  <c r="AH54" i="11"/>
  <c r="AH55" i="11"/>
  <c r="AI55" i="11"/>
  <c r="AH56" i="11"/>
  <c r="AH57" i="11"/>
  <c r="AI58" i="11"/>
  <c r="AH59" i="11"/>
  <c r="AI59" i="11"/>
  <c r="AH60" i="11"/>
  <c r="AH61" i="11"/>
  <c r="AI62" i="11"/>
  <c r="AH63" i="11"/>
  <c r="AI63" i="11"/>
  <c r="AG64" i="11"/>
  <c r="AH65" i="11"/>
  <c r="AI66" i="11"/>
  <c r="AH67" i="11"/>
  <c r="AI67" i="11"/>
  <c r="AH68" i="11"/>
  <c r="AH69" i="11"/>
  <c r="AH70" i="11"/>
  <c r="AH71" i="11"/>
  <c r="AI71" i="11"/>
  <c r="AH72" i="11"/>
  <c r="AH73" i="11"/>
  <c r="AH74" i="11"/>
  <c r="AH76" i="11"/>
  <c r="AI77" i="11"/>
  <c r="AG78" i="11"/>
  <c r="AI79" i="11"/>
  <c r="AI80" i="11"/>
  <c r="AI81" i="11"/>
  <c r="AG82" i="11"/>
  <c r="AG84" i="11"/>
  <c r="AI85" i="11"/>
  <c r="AG86" i="11"/>
  <c r="AI87" i="11"/>
  <c r="AI88" i="11"/>
  <c r="AI89" i="11"/>
  <c r="AH90" i="11"/>
  <c r="AH91" i="11"/>
  <c r="AH92" i="11"/>
  <c r="AI93" i="11"/>
  <c r="AG94" i="11"/>
  <c r="AI95" i="11"/>
  <c r="AI96" i="11"/>
  <c r="AI97" i="11"/>
  <c r="AG98" i="11"/>
  <c r="AG100" i="11"/>
  <c r="AI101" i="11"/>
  <c r="B2" i="10"/>
  <c r="B3" i="10"/>
  <c r="N3" i="10"/>
  <c r="N5" i="10"/>
  <c r="T10" i="10"/>
  <c r="B10" i="10" s="1"/>
  <c r="U10" i="10"/>
  <c r="S11" i="10"/>
  <c r="U11" i="10" s="1"/>
  <c r="K110" i="10"/>
  <c r="K362" i="10" s="1"/>
  <c r="U112" i="10"/>
  <c r="S113" i="10"/>
  <c r="U113" i="10" s="1"/>
  <c r="B113" i="10" s="1"/>
  <c r="AG3" i="11"/>
  <c r="AG5" i="11"/>
  <c r="AG7" i="11"/>
  <c r="AG9" i="11"/>
  <c r="AG11" i="11"/>
  <c r="AG13" i="11"/>
  <c r="AG15" i="11"/>
  <c r="AG17" i="11"/>
  <c r="AG19" i="11"/>
  <c r="AG23" i="11"/>
  <c r="AG27" i="11"/>
  <c r="AG31" i="11"/>
  <c r="AG35" i="11"/>
  <c r="AG39" i="11"/>
  <c r="AG43" i="11"/>
  <c r="AG2" i="11"/>
  <c r="AG4" i="11"/>
  <c r="AG6" i="11"/>
  <c r="AG8" i="11"/>
  <c r="AG12" i="11"/>
  <c r="AG14" i="11"/>
  <c r="AG16" i="11"/>
  <c r="AG18" i="11"/>
  <c r="AG20" i="11"/>
  <c r="AG22" i="11"/>
  <c r="AG24" i="11"/>
  <c r="AG26" i="11"/>
  <c r="AG28" i="11"/>
  <c r="AG30" i="11"/>
  <c r="AG32" i="11"/>
  <c r="AG34" i="11"/>
  <c r="AG36" i="11"/>
  <c r="AG38" i="11"/>
  <c r="AG40" i="11"/>
  <c r="AG42" i="11"/>
  <c r="AG45" i="11"/>
  <c r="AG47" i="11"/>
  <c r="AG49" i="11"/>
  <c r="AG51" i="11"/>
  <c r="AG53" i="11"/>
  <c r="AG55" i="11"/>
  <c r="AG57" i="11"/>
  <c r="AG59" i="11"/>
  <c r="AG61" i="11"/>
  <c r="AG63" i="11"/>
  <c r="AG65" i="11"/>
  <c r="AG67" i="11"/>
  <c r="AG69" i="11"/>
  <c r="AG71" i="11"/>
  <c r="AG73" i="11"/>
  <c r="AH48" i="11"/>
  <c r="AH64" i="11"/>
  <c r="AH42" i="11"/>
  <c r="AI11" i="11"/>
  <c r="AH8" i="11"/>
  <c r="AH7" i="11"/>
  <c r="AH4" i="11"/>
  <c r="AH3" i="11"/>
  <c r="AH6" i="11"/>
  <c r="AH2" i="11"/>
  <c r="B365" i="10"/>
  <c r="AG75" i="11"/>
  <c r="AG77" i="11"/>
  <c r="AG79" i="11"/>
  <c r="AG81" i="11"/>
  <c r="AG83" i="11"/>
  <c r="AG85" i="11"/>
  <c r="AG87" i="11"/>
  <c r="AG89" i="11"/>
  <c r="AG91" i="11"/>
  <c r="AG93" i="11"/>
  <c r="AG95" i="11"/>
  <c r="AG97" i="11"/>
  <c r="AG99" i="11"/>
  <c r="AG101" i="11"/>
  <c r="AH75" i="11"/>
  <c r="AH77" i="11"/>
  <c r="AH79" i="11"/>
  <c r="AH81" i="11"/>
  <c r="AH83" i="11"/>
  <c r="AH85" i="11"/>
  <c r="AH87" i="11"/>
  <c r="AH89" i="11"/>
  <c r="AH93" i="11"/>
  <c r="AH95" i="11"/>
  <c r="AH97" i="11"/>
  <c r="AH99" i="11"/>
  <c r="AH101" i="11"/>
  <c r="AI2" i="11"/>
  <c r="AI4" i="11"/>
  <c r="AI6" i="11"/>
  <c r="AI8" i="11"/>
  <c r="AH12" i="11"/>
  <c r="AH10" i="11"/>
  <c r="AG76" i="11"/>
  <c r="AG80" i="11"/>
  <c r="AG88" i="11"/>
  <c r="AG92" i="11"/>
  <c r="AG96" i="11"/>
  <c r="AH80" i="11"/>
  <c r="AH82" i="11"/>
  <c r="AH84" i="11"/>
  <c r="AH88" i="11"/>
  <c r="AH96" i="11"/>
  <c r="AH98" i="11"/>
  <c r="AH100" i="11"/>
  <c r="B112" i="10"/>
  <c r="S12" i="10" l="1"/>
  <c r="U12" i="10" s="1"/>
  <c r="S114" i="10"/>
  <c r="U114" i="10" s="1"/>
  <c r="A114" i="10" s="1"/>
  <c r="AI94" i="11"/>
  <c r="AI86" i="11"/>
  <c r="AI76" i="11"/>
  <c r="AI98" i="11"/>
  <c r="AI74" i="11"/>
  <c r="AH86" i="11"/>
  <c r="AH66" i="11"/>
  <c r="AH50" i="11"/>
  <c r="AG29" i="11"/>
  <c r="AI73" i="11"/>
  <c r="AG72" i="11"/>
  <c r="AI69" i="11"/>
  <c r="AG68" i="11"/>
  <c r="AI65" i="11"/>
  <c r="AI61" i="11"/>
  <c r="AG60" i="11"/>
  <c r="AI57" i="11"/>
  <c r="AG56" i="11"/>
  <c r="AI53" i="11"/>
  <c r="AG52" i="11"/>
  <c r="AI49" i="11"/>
  <c r="AI45" i="11"/>
  <c r="AH44" i="11"/>
  <c r="AI38" i="11"/>
  <c r="AI30" i="11"/>
  <c r="AI22" i="11"/>
  <c r="AI41" i="11"/>
  <c r="AH62" i="11"/>
  <c r="AH46" i="11"/>
  <c r="T12" i="10"/>
  <c r="F12" i="10" s="1"/>
  <c r="AG41" i="11"/>
  <c r="AG25" i="11"/>
  <c r="AI72" i="11"/>
  <c r="AI68" i="11"/>
  <c r="AI64" i="11"/>
  <c r="AI60" i="11"/>
  <c r="AI56" i="11"/>
  <c r="AI52" i="11"/>
  <c r="AI48" i="11"/>
  <c r="AI44" i="11"/>
  <c r="AH43" i="11"/>
  <c r="AI36" i="11"/>
  <c r="AI28" i="11"/>
  <c r="AI3" i="11"/>
  <c r="AI10" i="11"/>
  <c r="AG70" i="11"/>
  <c r="AG66" i="11"/>
  <c r="AG62" i="11"/>
  <c r="AG58" i="11"/>
  <c r="AG54" i="11"/>
  <c r="AG50" i="11"/>
  <c r="AG46" i="11"/>
  <c r="AH94" i="11"/>
  <c r="AH78" i="11"/>
  <c r="AG90" i="11"/>
  <c r="AG74" i="11"/>
  <c r="AH58" i="11"/>
  <c r="AG37" i="11"/>
  <c r="AG21" i="11"/>
  <c r="AI70" i="11"/>
  <c r="AI54" i="11"/>
  <c r="AI26" i="11"/>
  <c r="AI9" i="11"/>
  <c r="AI100" i="11"/>
  <c r="AI92" i="11"/>
  <c r="AI99" i="11"/>
  <c r="AI91" i="11"/>
  <c r="AI83" i="11"/>
  <c r="AI75" i="11"/>
  <c r="AI42" i="11"/>
  <c r="AI40" i="11"/>
  <c r="AI32" i="11"/>
  <c r="AI24" i="11"/>
  <c r="AI78" i="11"/>
  <c r="AI84" i="11"/>
  <c r="AG33" i="11"/>
  <c r="AI90" i="11"/>
  <c r="AI82" i="11"/>
  <c r="AI12" i="11"/>
  <c r="A113" i="10"/>
  <c r="C10" i="10"/>
  <c r="AH40" i="11"/>
  <c r="AI39" i="11"/>
  <c r="AH38" i="11"/>
  <c r="AI37" i="11"/>
  <c r="AH36" i="11"/>
  <c r="AI35" i="11"/>
  <c r="AH34" i="11"/>
  <c r="AI33" i="11"/>
  <c r="AH32" i="11"/>
  <c r="AI31" i="11"/>
  <c r="AH30" i="11"/>
  <c r="AI29" i="11"/>
  <c r="AH28" i="11"/>
  <c r="AI27" i="11"/>
  <c r="AH26" i="11"/>
  <c r="AI25" i="11"/>
  <c r="AH24" i="11"/>
  <c r="AI23" i="11"/>
  <c r="AH22" i="11"/>
  <c r="AI21" i="11"/>
  <c r="AH20" i="11"/>
  <c r="AI19" i="11"/>
  <c r="AH18" i="11"/>
  <c r="AI17" i="11"/>
  <c r="AI15" i="11"/>
  <c r="AI16" i="11"/>
  <c r="AI14" i="11"/>
  <c r="AI5" i="11"/>
  <c r="AI7" i="11"/>
  <c r="N4" i="10"/>
  <c r="C114" i="10"/>
  <c r="S13" i="10"/>
  <c r="T11" i="10"/>
  <c r="F11" i="10" s="1"/>
  <c r="I11" i="10"/>
  <c r="A11" i="10"/>
  <c r="C113" i="10"/>
  <c r="A10" i="10"/>
  <c r="F10" i="10"/>
  <c r="I10" i="10"/>
  <c r="E10" i="10"/>
  <c r="C112" i="10"/>
  <c r="A112" i="10"/>
  <c r="S115" i="10" l="1"/>
  <c r="S116" i="10" s="1"/>
  <c r="B114" i="10"/>
  <c r="AH103" i="11"/>
  <c r="I112" i="10"/>
  <c r="L112" i="10" s="1"/>
  <c r="E12" i="10"/>
  <c r="G12" i="10" s="1"/>
  <c r="J12" i="10" s="1"/>
  <c r="L12" i="10" s="1"/>
  <c r="N12" i="10" s="1"/>
  <c r="B12" i="10"/>
  <c r="E112" i="10"/>
  <c r="G112" i="10" s="1"/>
  <c r="N112" i="10" s="1"/>
  <c r="I12" i="10"/>
  <c r="AG103" i="11"/>
  <c r="AI103" i="11"/>
  <c r="A12" i="10"/>
  <c r="C12" i="10"/>
  <c r="U115" i="10"/>
  <c r="C115" i="10" s="1"/>
  <c r="U116" i="10"/>
  <c r="S117" i="10"/>
  <c r="G10" i="10"/>
  <c r="U13" i="10"/>
  <c r="S14" i="10"/>
  <c r="T13" i="10"/>
  <c r="C11" i="10"/>
  <c r="B11" i="10"/>
  <c r="E11" i="10"/>
  <c r="G11" i="10" s="1"/>
  <c r="J11" i="10" s="1"/>
  <c r="L11" i="10" s="1"/>
  <c r="J10" i="10"/>
  <c r="L10" i="10" s="1"/>
  <c r="J112" i="10" l="1"/>
  <c r="B115" i="10"/>
  <c r="P12" i="10"/>
  <c r="S118" i="10"/>
  <c r="U117" i="10"/>
  <c r="A116" i="10"/>
  <c r="B116" i="10"/>
  <c r="C116" i="10"/>
  <c r="N11" i="10"/>
  <c r="A115" i="10"/>
  <c r="P11" i="10"/>
  <c r="T14" i="10"/>
  <c r="U14" i="10"/>
  <c r="S15" i="10"/>
  <c r="E13" i="10"/>
  <c r="B13" i="10"/>
  <c r="F13" i="10"/>
  <c r="C13" i="10"/>
  <c r="A13" i="10"/>
  <c r="I13" i="10"/>
  <c r="N10" i="10"/>
  <c r="P10" i="10"/>
  <c r="C117" i="10" l="1"/>
  <c r="B117" i="10"/>
  <c r="A117" i="10"/>
  <c r="U118" i="10"/>
  <c r="S119" i="10"/>
  <c r="G13" i="10"/>
  <c r="T15" i="10"/>
  <c r="S16" i="10"/>
  <c r="U15" i="10"/>
  <c r="C14" i="10"/>
  <c r="E14" i="10"/>
  <c r="A14" i="10"/>
  <c r="F14" i="10"/>
  <c r="B14" i="10"/>
  <c r="I14" i="10"/>
  <c r="G14" i="10" l="1"/>
  <c r="S120" i="10"/>
  <c r="U119" i="10"/>
  <c r="A118" i="10"/>
  <c r="C118" i="10"/>
  <c r="B118" i="10"/>
  <c r="J14" i="10"/>
  <c r="L14" i="10" s="1"/>
  <c r="P14" i="10" s="1"/>
  <c r="E15" i="10"/>
  <c r="I15" i="10"/>
  <c r="C15" i="10"/>
  <c r="B15" i="10"/>
  <c r="A15" i="10"/>
  <c r="F15" i="10"/>
  <c r="J13" i="10"/>
  <c r="L13" i="10" s="1"/>
  <c r="N13" i="10" s="1"/>
  <c r="U16" i="10"/>
  <c r="S17" i="10"/>
  <c r="T16" i="10"/>
  <c r="B119" i="10" l="1"/>
  <c r="C119" i="10"/>
  <c r="A119" i="10"/>
  <c r="U120" i="10"/>
  <c r="S121" i="10"/>
  <c r="G15" i="10"/>
  <c r="J15" i="10" s="1"/>
  <c r="L15" i="10" s="1"/>
  <c r="P15" i="10" s="1"/>
  <c r="N14" i="10"/>
  <c r="E16" i="10"/>
  <c r="A16" i="10"/>
  <c r="C16" i="10"/>
  <c r="B16" i="10"/>
  <c r="I16" i="10"/>
  <c r="F16" i="10"/>
  <c r="T17" i="10"/>
  <c r="U17" i="10"/>
  <c r="S18" i="10"/>
  <c r="P13" i="10"/>
  <c r="S122" i="10" l="1"/>
  <c r="U121" i="10"/>
  <c r="B120" i="10"/>
  <c r="C120" i="10"/>
  <c r="A120" i="10"/>
  <c r="N15" i="10"/>
  <c r="S19" i="10"/>
  <c r="T18" i="10"/>
  <c r="U18" i="10"/>
  <c r="F17" i="10"/>
  <c r="A17" i="10"/>
  <c r="E17" i="10"/>
  <c r="B17" i="10"/>
  <c r="I17" i="10"/>
  <c r="C17" i="10"/>
  <c r="G16" i="10"/>
  <c r="B121" i="10" l="1"/>
  <c r="C121" i="10"/>
  <c r="A121" i="10"/>
  <c r="G17" i="10"/>
  <c r="J17" i="10" s="1"/>
  <c r="L17" i="10" s="1"/>
  <c r="P17" i="10" s="1"/>
  <c r="S123" i="10"/>
  <c r="U122" i="10"/>
  <c r="J16" i="10"/>
  <c r="L16" i="10" s="1"/>
  <c r="N16" i="10" s="1"/>
  <c r="A18" i="10"/>
  <c r="F18" i="10"/>
  <c r="E18" i="10"/>
  <c r="G18" i="10" s="1"/>
  <c r="B18" i="10"/>
  <c r="C18" i="10"/>
  <c r="I18" i="10"/>
  <c r="S20" i="10"/>
  <c r="U19" i="10"/>
  <c r="T19" i="10"/>
  <c r="J18" i="10" l="1"/>
  <c r="L18" i="10" s="1"/>
  <c r="N18" i="10" s="1"/>
  <c r="B122" i="10"/>
  <c r="A122" i="10"/>
  <c r="C122" i="10"/>
  <c r="U123" i="10"/>
  <c r="S124" i="10"/>
  <c r="N17" i="10"/>
  <c r="F19" i="10"/>
  <c r="C19" i="10"/>
  <c r="E19" i="10"/>
  <c r="B19" i="10"/>
  <c r="I19" i="10"/>
  <c r="A19" i="10"/>
  <c r="U20" i="10"/>
  <c r="S21" i="10"/>
  <c r="T20" i="10"/>
  <c r="P16" i="10"/>
  <c r="S125" i="10" l="1"/>
  <c r="U124" i="10"/>
  <c r="G19" i="10"/>
  <c r="J19" i="10" s="1"/>
  <c r="L19" i="10" s="1"/>
  <c r="C123" i="10"/>
  <c r="A123" i="10"/>
  <c r="B123" i="10"/>
  <c r="P18" i="10"/>
  <c r="T21" i="10"/>
  <c r="U21" i="10"/>
  <c r="S22" i="10"/>
  <c r="A20" i="10"/>
  <c r="B20" i="10"/>
  <c r="C20" i="10"/>
  <c r="E20" i="10"/>
  <c r="I20" i="10"/>
  <c r="F20" i="10"/>
  <c r="N19" i="10" l="1"/>
  <c r="C124" i="10"/>
  <c r="B124" i="10"/>
  <c r="A124" i="10"/>
  <c r="S126" i="10"/>
  <c r="U125" i="10"/>
  <c r="G20" i="10"/>
  <c r="P19" i="10"/>
  <c r="U22" i="10"/>
  <c r="T22" i="10"/>
  <c r="S23" i="10"/>
  <c r="E21" i="10"/>
  <c r="I21" i="10"/>
  <c r="B21" i="10"/>
  <c r="C21" i="10"/>
  <c r="A21" i="10"/>
  <c r="F21" i="10"/>
  <c r="U126" i="10" l="1"/>
  <c r="S127" i="10"/>
  <c r="B125" i="10"/>
  <c r="A125" i="10"/>
  <c r="C125" i="10"/>
  <c r="S24" i="10"/>
  <c r="U23" i="10"/>
  <c r="T23" i="10"/>
  <c r="G21" i="10"/>
  <c r="I22" i="10"/>
  <c r="C22" i="10"/>
  <c r="A22" i="10"/>
  <c r="F22" i="10"/>
  <c r="E22" i="10"/>
  <c r="B22" i="10"/>
  <c r="J20" i="10"/>
  <c r="L20" i="10" s="1"/>
  <c r="G22" i="10" l="1"/>
  <c r="U127" i="10"/>
  <c r="S128" i="10"/>
  <c r="C126" i="10"/>
  <c r="B126" i="10"/>
  <c r="A126" i="10"/>
  <c r="P20" i="10"/>
  <c r="N20" i="10"/>
  <c r="J21" i="10"/>
  <c r="L21" i="10" s="1"/>
  <c r="P21" i="10" s="1"/>
  <c r="J22" i="10"/>
  <c r="L22" i="10" s="1"/>
  <c r="P22" i="10" s="1"/>
  <c r="F23" i="10"/>
  <c r="A23" i="10"/>
  <c r="B23" i="10"/>
  <c r="I23" i="10"/>
  <c r="E23" i="10"/>
  <c r="C23" i="10"/>
  <c r="U24" i="10"/>
  <c r="T24" i="10"/>
  <c r="S25" i="10"/>
  <c r="G23" i="10" l="1"/>
  <c r="J23" i="10" s="1"/>
  <c r="L23" i="10" s="1"/>
  <c r="N23" i="10" s="1"/>
  <c r="U128" i="10"/>
  <c r="S129" i="10"/>
  <c r="C127" i="10"/>
  <c r="A127" i="10"/>
  <c r="B127" i="10"/>
  <c r="C24" i="10"/>
  <c r="E24" i="10"/>
  <c r="A24" i="10"/>
  <c r="B24" i="10"/>
  <c r="I24" i="10"/>
  <c r="F24" i="10"/>
  <c r="N22" i="10"/>
  <c r="N21" i="10"/>
  <c r="U25" i="10"/>
  <c r="S26" i="10"/>
  <c r="T25" i="10"/>
  <c r="U129" i="10" l="1"/>
  <c r="S130" i="10"/>
  <c r="G24" i="10"/>
  <c r="J24" i="10" s="1"/>
  <c r="L24" i="10" s="1"/>
  <c r="P24" i="10" s="1"/>
  <c r="C128" i="10"/>
  <c r="A128" i="10"/>
  <c r="B128" i="10"/>
  <c r="S27" i="10"/>
  <c r="U26" i="10"/>
  <c r="T26" i="10"/>
  <c r="F25" i="10"/>
  <c r="A25" i="10"/>
  <c r="B25" i="10"/>
  <c r="I25" i="10"/>
  <c r="C25" i="10"/>
  <c r="E25" i="10"/>
  <c r="P23" i="10"/>
  <c r="U130" i="10" l="1"/>
  <c r="S131" i="10"/>
  <c r="A129" i="10"/>
  <c r="B129" i="10"/>
  <c r="C129" i="10"/>
  <c r="G25" i="10"/>
  <c r="J25" i="10" s="1"/>
  <c r="L25" i="10" s="1"/>
  <c r="P25" i="10" s="1"/>
  <c r="N24" i="10"/>
  <c r="I26" i="10"/>
  <c r="C26" i="10"/>
  <c r="E26" i="10"/>
  <c r="B26" i="10"/>
  <c r="A26" i="10"/>
  <c r="F26" i="10"/>
  <c r="U27" i="10"/>
  <c r="T27" i="10"/>
  <c r="S28" i="10"/>
  <c r="U131" i="10" l="1"/>
  <c r="S132" i="10"/>
  <c r="A130" i="10"/>
  <c r="B130" i="10"/>
  <c r="C130" i="10"/>
  <c r="T28" i="10"/>
  <c r="S29" i="10"/>
  <c r="U28" i="10"/>
  <c r="G26" i="10"/>
  <c r="N25" i="10"/>
  <c r="C27" i="10"/>
  <c r="A27" i="10"/>
  <c r="B27" i="10"/>
  <c r="F27" i="10"/>
  <c r="I27" i="10"/>
  <c r="E27" i="10"/>
  <c r="G27" i="10" s="1"/>
  <c r="U132" i="10" l="1"/>
  <c r="S133" i="10"/>
  <c r="A131" i="10"/>
  <c r="C131" i="10"/>
  <c r="B131" i="10"/>
  <c r="E28" i="10"/>
  <c r="F28" i="10"/>
  <c r="B28" i="10"/>
  <c r="I28" i="10"/>
  <c r="C28" i="10"/>
  <c r="A28" i="10"/>
  <c r="J27" i="10"/>
  <c r="L27" i="10" s="1"/>
  <c r="N27" i="10" s="1"/>
  <c r="J26" i="10"/>
  <c r="L26" i="10" s="1"/>
  <c r="P26" i="10" s="1"/>
  <c r="T29" i="10"/>
  <c r="S30" i="10"/>
  <c r="U29" i="10"/>
  <c r="U133" i="10" l="1"/>
  <c r="S134" i="10"/>
  <c r="C132" i="10"/>
  <c r="A132" i="10"/>
  <c r="B132" i="10"/>
  <c r="N26" i="10"/>
  <c r="G28" i="10"/>
  <c r="J28" i="10" s="1"/>
  <c r="L28" i="10" s="1"/>
  <c r="B29" i="10"/>
  <c r="I29" i="10"/>
  <c r="A29" i="10"/>
  <c r="C29" i="10"/>
  <c r="E29" i="10"/>
  <c r="F29" i="10"/>
  <c r="P27" i="10"/>
  <c r="U30" i="10"/>
  <c r="T30" i="10"/>
  <c r="S31" i="10"/>
  <c r="S135" i="10" l="1"/>
  <c r="U134" i="10"/>
  <c r="A133" i="10"/>
  <c r="C133" i="10"/>
  <c r="B133" i="10"/>
  <c r="P28" i="10"/>
  <c r="N28" i="10"/>
  <c r="I30" i="10"/>
  <c r="C30" i="10"/>
  <c r="B30" i="10"/>
  <c r="F30" i="10"/>
  <c r="E30" i="10"/>
  <c r="A30" i="10"/>
  <c r="U31" i="10"/>
  <c r="T31" i="10"/>
  <c r="S32" i="10"/>
  <c r="G29" i="10"/>
  <c r="B134" i="10" l="1"/>
  <c r="C134" i="10"/>
  <c r="A134" i="10"/>
  <c r="S136" i="10"/>
  <c r="U135" i="10"/>
  <c r="J29" i="10"/>
  <c r="L29" i="10" s="1"/>
  <c r="P29" i="10" s="1"/>
  <c r="S33" i="10"/>
  <c r="T32" i="10"/>
  <c r="U32" i="10"/>
  <c r="A31" i="10"/>
  <c r="C31" i="10"/>
  <c r="F31" i="10"/>
  <c r="E31" i="10"/>
  <c r="G31" i="10" s="1"/>
  <c r="B31" i="10"/>
  <c r="I31" i="10"/>
  <c r="G30" i="10"/>
  <c r="S137" i="10" l="1"/>
  <c r="U136" i="10"/>
  <c r="C135" i="10"/>
  <c r="B135" i="10"/>
  <c r="A135" i="10"/>
  <c r="J30" i="10"/>
  <c r="L30" i="10" s="1"/>
  <c r="P30" i="10" s="1"/>
  <c r="B32" i="10"/>
  <c r="I32" i="10"/>
  <c r="F32" i="10"/>
  <c r="E32" i="10"/>
  <c r="A32" i="10"/>
  <c r="C32" i="10"/>
  <c r="N29" i="10"/>
  <c r="J31" i="10"/>
  <c r="L31" i="10" s="1"/>
  <c r="P31" i="10" s="1"/>
  <c r="S34" i="10"/>
  <c r="U33" i="10"/>
  <c r="T33" i="10"/>
  <c r="A136" i="10" l="1"/>
  <c r="C136" i="10"/>
  <c r="B136" i="10"/>
  <c r="S138" i="10"/>
  <c r="U137" i="10"/>
  <c r="N31" i="10"/>
  <c r="A33" i="10"/>
  <c r="F33" i="10"/>
  <c r="I33" i="10"/>
  <c r="E33" i="10"/>
  <c r="C33" i="10"/>
  <c r="B33" i="10"/>
  <c r="T34" i="10"/>
  <c r="U34" i="10"/>
  <c r="S35" i="10"/>
  <c r="G32" i="10"/>
  <c r="N30" i="10"/>
  <c r="G33" i="10" l="1"/>
  <c r="C137" i="10"/>
  <c r="A137" i="10"/>
  <c r="B137" i="10"/>
  <c r="U138" i="10"/>
  <c r="S139" i="10"/>
  <c r="J32" i="10"/>
  <c r="L32" i="10" s="1"/>
  <c r="P32" i="10" s="1"/>
  <c r="S36" i="10"/>
  <c r="U35" i="10"/>
  <c r="T35" i="10"/>
  <c r="C34" i="10"/>
  <c r="E34" i="10"/>
  <c r="A34" i="10"/>
  <c r="B34" i="10"/>
  <c r="I34" i="10"/>
  <c r="F34" i="10"/>
  <c r="J33" i="10"/>
  <c r="L33" i="10" s="1"/>
  <c r="P33" i="10" s="1"/>
  <c r="U139" i="10" l="1"/>
  <c r="S140" i="10"/>
  <c r="C138" i="10"/>
  <c r="A138" i="10"/>
  <c r="B138" i="10"/>
  <c r="G34" i="10"/>
  <c r="J34" i="10"/>
  <c r="L34" i="10" s="1"/>
  <c r="N34" i="10" s="1"/>
  <c r="N33" i="10"/>
  <c r="N32" i="10"/>
  <c r="A35" i="10"/>
  <c r="E35" i="10"/>
  <c r="I35" i="10"/>
  <c r="F35" i="10"/>
  <c r="B35" i="10"/>
  <c r="C35" i="10"/>
  <c r="S37" i="10"/>
  <c r="U36" i="10"/>
  <c r="T36" i="10"/>
  <c r="S141" i="10" l="1"/>
  <c r="U140" i="10"/>
  <c r="B139" i="10"/>
  <c r="C139" i="10"/>
  <c r="A139" i="10"/>
  <c r="F36" i="10"/>
  <c r="I36" i="10"/>
  <c r="E36" i="10"/>
  <c r="C36" i="10"/>
  <c r="A36" i="10"/>
  <c r="B36" i="10"/>
  <c r="T37" i="10"/>
  <c r="S38" i="10"/>
  <c r="U37" i="10"/>
  <c r="P34" i="10"/>
  <c r="G35" i="10"/>
  <c r="J35" i="10" s="1"/>
  <c r="L35" i="10" s="1"/>
  <c r="N35" i="10" s="1"/>
  <c r="G36" i="10" l="1"/>
  <c r="C140" i="10"/>
  <c r="A140" i="10"/>
  <c r="B140" i="10"/>
  <c r="U141" i="10"/>
  <c r="S142" i="10"/>
  <c r="P35" i="10"/>
  <c r="S39" i="10"/>
  <c r="T38" i="10"/>
  <c r="U38" i="10"/>
  <c r="B37" i="10"/>
  <c r="A37" i="10"/>
  <c r="E37" i="10"/>
  <c r="I37" i="10"/>
  <c r="C37" i="10"/>
  <c r="F37" i="10"/>
  <c r="G37" i="10" s="1"/>
  <c r="J36" i="10"/>
  <c r="L36" i="10" s="1"/>
  <c r="P36" i="10" s="1"/>
  <c r="N36" i="10" l="1"/>
  <c r="S143" i="10"/>
  <c r="U142" i="10"/>
  <c r="B141" i="10"/>
  <c r="A141" i="10"/>
  <c r="C141" i="10"/>
  <c r="E38" i="10"/>
  <c r="A38" i="10"/>
  <c r="C38" i="10"/>
  <c r="I38" i="10"/>
  <c r="B38" i="10"/>
  <c r="F38" i="10"/>
  <c r="J37" i="10"/>
  <c r="L37" i="10" s="1"/>
  <c r="P37" i="10" s="1"/>
  <c r="S40" i="10"/>
  <c r="T39" i="10"/>
  <c r="U39" i="10"/>
  <c r="C142" i="10" l="1"/>
  <c r="A142" i="10"/>
  <c r="B142" i="10"/>
  <c r="S144" i="10"/>
  <c r="U143" i="10"/>
  <c r="G38" i="10"/>
  <c r="J38" i="10" s="1"/>
  <c r="L38" i="10" s="1"/>
  <c r="P38" i="10" s="1"/>
  <c r="U40" i="10"/>
  <c r="T40" i="10"/>
  <c r="S41" i="10"/>
  <c r="C39" i="10"/>
  <c r="I39" i="10"/>
  <c r="E39" i="10"/>
  <c r="A39" i="10"/>
  <c r="F39" i="10"/>
  <c r="B39" i="10"/>
  <c r="N37" i="10"/>
  <c r="A143" i="10" l="1"/>
  <c r="B143" i="10"/>
  <c r="C143" i="10"/>
  <c r="U144" i="10"/>
  <c r="S145" i="10"/>
  <c r="B40" i="10"/>
  <c r="E40" i="10"/>
  <c r="F40" i="10"/>
  <c r="I40" i="10"/>
  <c r="C40" i="10"/>
  <c r="A40" i="10"/>
  <c r="N38" i="10"/>
  <c r="G39" i="10"/>
  <c r="U41" i="10"/>
  <c r="S42" i="10"/>
  <c r="T41" i="10"/>
  <c r="S146" i="10" l="1"/>
  <c r="U145" i="10"/>
  <c r="A144" i="10"/>
  <c r="C144" i="10"/>
  <c r="B144" i="10"/>
  <c r="I41" i="10"/>
  <c r="F41" i="10"/>
  <c r="C41" i="10"/>
  <c r="E41" i="10"/>
  <c r="B41" i="10"/>
  <c r="A41" i="10"/>
  <c r="U42" i="10"/>
  <c r="S43" i="10"/>
  <c r="T42" i="10"/>
  <c r="G40" i="10"/>
  <c r="J39" i="10"/>
  <c r="L39" i="10" s="1"/>
  <c r="P39" i="10" s="1"/>
  <c r="C145" i="10" l="1"/>
  <c r="B145" i="10"/>
  <c r="A145" i="10"/>
  <c r="G41" i="10"/>
  <c r="U146" i="10"/>
  <c r="S147" i="10"/>
  <c r="E42" i="10"/>
  <c r="B42" i="10"/>
  <c r="A42" i="10"/>
  <c r="C42" i="10"/>
  <c r="I42" i="10"/>
  <c r="F42" i="10"/>
  <c r="J41" i="10"/>
  <c r="L41" i="10" s="1"/>
  <c r="P41" i="10" s="1"/>
  <c r="N39" i="10"/>
  <c r="J40" i="10"/>
  <c r="L40" i="10" s="1"/>
  <c r="P40" i="10" s="1"/>
  <c r="S44" i="10"/>
  <c r="U43" i="10"/>
  <c r="T43" i="10"/>
  <c r="C146" i="10" l="1"/>
  <c r="B146" i="10"/>
  <c r="A146" i="10"/>
  <c r="U147" i="10"/>
  <c r="S148" i="10"/>
  <c r="A43" i="10"/>
  <c r="C43" i="10"/>
  <c r="B43" i="10"/>
  <c r="E43" i="10"/>
  <c r="F43" i="10"/>
  <c r="I43" i="10"/>
  <c r="U44" i="10"/>
  <c r="T44" i="10"/>
  <c r="S45" i="10"/>
  <c r="N40" i="10"/>
  <c r="N41" i="10"/>
  <c r="G42" i="10"/>
  <c r="S149" i="10" l="1"/>
  <c r="U148" i="10"/>
  <c r="A147" i="10"/>
  <c r="C147" i="10"/>
  <c r="B147" i="10"/>
  <c r="J42" i="10"/>
  <c r="L42" i="10" s="1"/>
  <c r="P42" i="10" s="1"/>
  <c r="E44" i="10"/>
  <c r="A44" i="10"/>
  <c r="F44" i="10"/>
  <c r="I44" i="10"/>
  <c r="B44" i="10"/>
  <c r="C44" i="10"/>
  <c r="G43" i="10"/>
  <c r="T45" i="10"/>
  <c r="S46" i="10"/>
  <c r="U45" i="10"/>
  <c r="B148" i="10" l="1"/>
  <c r="A148" i="10"/>
  <c r="C148" i="10"/>
  <c r="U149" i="10"/>
  <c r="S150" i="10"/>
  <c r="U46" i="10"/>
  <c r="S47" i="10"/>
  <c r="T46" i="10"/>
  <c r="N42" i="10"/>
  <c r="C45" i="10"/>
  <c r="A45" i="10"/>
  <c r="F45" i="10"/>
  <c r="E45" i="10"/>
  <c r="I45" i="10"/>
  <c r="B45" i="10"/>
  <c r="J43" i="10"/>
  <c r="L43" i="10" s="1"/>
  <c r="P43" i="10" s="1"/>
  <c r="G44" i="10"/>
  <c r="J44" i="10" s="1"/>
  <c r="L44" i="10" s="1"/>
  <c r="N44" i="10" s="1"/>
  <c r="A149" i="10" l="1"/>
  <c r="C149" i="10"/>
  <c r="B149" i="10"/>
  <c r="U150" i="10"/>
  <c r="S151" i="10"/>
  <c r="N43" i="10"/>
  <c r="G45" i="10"/>
  <c r="J45" i="10" s="1"/>
  <c r="L45" i="10" s="1"/>
  <c r="P45" i="10" s="1"/>
  <c r="P44" i="10"/>
  <c r="T47" i="10"/>
  <c r="U47" i="10"/>
  <c r="S48" i="10"/>
  <c r="C46" i="10"/>
  <c r="B46" i="10"/>
  <c r="E46" i="10"/>
  <c r="F46" i="10"/>
  <c r="I46" i="10"/>
  <c r="A46" i="10"/>
  <c r="U151" i="10" l="1"/>
  <c r="S152" i="10"/>
  <c r="B150" i="10"/>
  <c r="C150" i="10"/>
  <c r="A150" i="10"/>
  <c r="G46" i="10"/>
  <c r="J46" i="10" s="1"/>
  <c r="L46" i="10" s="1"/>
  <c r="P46" i="10" s="1"/>
  <c r="U48" i="10"/>
  <c r="T48" i="10"/>
  <c r="S49" i="10"/>
  <c r="N45" i="10"/>
  <c r="E47" i="10"/>
  <c r="A47" i="10"/>
  <c r="C47" i="10"/>
  <c r="B47" i="10"/>
  <c r="I47" i="10"/>
  <c r="F47" i="10"/>
  <c r="S153" i="10" l="1"/>
  <c r="U152" i="10"/>
  <c r="B151" i="10"/>
  <c r="A151" i="10"/>
  <c r="C151" i="10"/>
  <c r="G47" i="10"/>
  <c r="N46" i="10"/>
  <c r="T49" i="10"/>
  <c r="S50" i="10"/>
  <c r="U49" i="10"/>
  <c r="C48" i="10"/>
  <c r="F48" i="10"/>
  <c r="I48" i="10"/>
  <c r="A48" i="10"/>
  <c r="B48" i="10"/>
  <c r="E48" i="10"/>
  <c r="G48" i="10" s="1"/>
  <c r="C152" i="10" l="1"/>
  <c r="B152" i="10"/>
  <c r="A152" i="10"/>
  <c r="U153" i="10"/>
  <c r="S154" i="10"/>
  <c r="J48" i="10"/>
  <c r="L48" i="10" s="1"/>
  <c r="P48" i="10" s="1"/>
  <c r="T50" i="10"/>
  <c r="S51" i="10"/>
  <c r="U50" i="10"/>
  <c r="A49" i="10"/>
  <c r="B49" i="10"/>
  <c r="F49" i="10"/>
  <c r="C49" i="10"/>
  <c r="I49" i="10"/>
  <c r="E49" i="10"/>
  <c r="J47" i="10"/>
  <c r="L47" i="10" s="1"/>
  <c r="P47" i="10" s="1"/>
  <c r="U154" i="10" l="1"/>
  <c r="S155" i="10"/>
  <c r="B153" i="10"/>
  <c r="A153" i="10"/>
  <c r="C153" i="10"/>
  <c r="G49" i="10"/>
  <c r="J49" i="10" s="1"/>
  <c r="L49" i="10" s="1"/>
  <c r="P49" i="10" s="1"/>
  <c r="N47" i="10"/>
  <c r="S52" i="10"/>
  <c r="U51" i="10"/>
  <c r="T51" i="10"/>
  <c r="N48" i="10"/>
  <c r="C50" i="10"/>
  <c r="I50" i="10"/>
  <c r="B50" i="10"/>
  <c r="A50" i="10"/>
  <c r="E50" i="10"/>
  <c r="F50" i="10"/>
  <c r="U155" i="10" l="1"/>
  <c r="S156" i="10"/>
  <c r="A154" i="10"/>
  <c r="C154" i="10"/>
  <c r="B154" i="10"/>
  <c r="G50" i="10"/>
  <c r="J50" i="10" s="1"/>
  <c r="L50" i="10" s="1"/>
  <c r="P50" i="10" s="1"/>
  <c r="N49" i="10"/>
  <c r="C51" i="10"/>
  <c r="E51" i="10"/>
  <c r="F51" i="10"/>
  <c r="A51" i="10"/>
  <c r="I51" i="10"/>
  <c r="B51" i="10"/>
  <c r="U52" i="10"/>
  <c r="T52" i="10"/>
  <c r="S53" i="10"/>
  <c r="U156" i="10" l="1"/>
  <c r="S157" i="10"/>
  <c r="C155" i="10"/>
  <c r="B155" i="10"/>
  <c r="A155" i="10"/>
  <c r="G51" i="10"/>
  <c r="J51" i="10" s="1"/>
  <c r="L51" i="10" s="1"/>
  <c r="P51" i="10" s="1"/>
  <c r="I52" i="10"/>
  <c r="A52" i="10"/>
  <c r="F52" i="10"/>
  <c r="E52" i="10"/>
  <c r="G52" i="10" s="1"/>
  <c r="C52" i="10"/>
  <c r="B52" i="10"/>
  <c r="N50" i="10"/>
  <c r="U53" i="10"/>
  <c r="T53" i="10"/>
  <c r="S54" i="10"/>
  <c r="S158" i="10" l="1"/>
  <c r="U157" i="10"/>
  <c r="B156" i="10"/>
  <c r="C156" i="10"/>
  <c r="A156" i="10"/>
  <c r="N51" i="10"/>
  <c r="T54" i="10"/>
  <c r="S55" i="10"/>
  <c r="U54" i="10"/>
  <c r="J52" i="10"/>
  <c r="L52" i="10" s="1"/>
  <c r="N52" i="10" s="1"/>
  <c r="F53" i="10"/>
  <c r="C53" i="10"/>
  <c r="I53" i="10"/>
  <c r="A53" i="10"/>
  <c r="E53" i="10"/>
  <c r="B53" i="10"/>
  <c r="G53" i="10" l="1"/>
  <c r="A157" i="10"/>
  <c r="B157" i="10"/>
  <c r="C157" i="10"/>
  <c r="U158" i="10"/>
  <c r="S159" i="10"/>
  <c r="P52" i="10"/>
  <c r="J53" i="10"/>
  <c r="L53" i="10" s="1"/>
  <c r="P53" i="10" s="1"/>
  <c r="I54" i="10"/>
  <c r="A54" i="10"/>
  <c r="E54" i="10"/>
  <c r="C54" i="10"/>
  <c r="F54" i="10"/>
  <c r="B54" i="10"/>
  <c r="S56" i="10"/>
  <c r="T55" i="10"/>
  <c r="U55" i="10"/>
  <c r="U159" i="10" l="1"/>
  <c r="S160" i="10"/>
  <c r="C158" i="10"/>
  <c r="A158" i="10"/>
  <c r="B158" i="10"/>
  <c r="T56" i="10"/>
  <c r="U56" i="10"/>
  <c r="S57" i="10"/>
  <c r="G54" i="10"/>
  <c r="J54" i="10" s="1"/>
  <c r="L54" i="10" s="1"/>
  <c r="N54" i="10" s="1"/>
  <c r="I55" i="10"/>
  <c r="B55" i="10"/>
  <c r="C55" i="10"/>
  <c r="E55" i="10"/>
  <c r="A55" i="10"/>
  <c r="F55" i="10"/>
  <c r="N53" i="10"/>
  <c r="U160" i="10" l="1"/>
  <c r="S161" i="10"/>
  <c r="C159" i="10"/>
  <c r="A159" i="10"/>
  <c r="B159" i="10"/>
  <c r="G55" i="10"/>
  <c r="P54" i="10"/>
  <c r="T57" i="10"/>
  <c r="S58" i="10"/>
  <c r="U57" i="10"/>
  <c r="F56" i="10"/>
  <c r="A56" i="10"/>
  <c r="I56" i="10"/>
  <c r="B56" i="10"/>
  <c r="E56" i="10"/>
  <c r="C56" i="10"/>
  <c r="S162" i="10" l="1"/>
  <c r="U161" i="10"/>
  <c r="G56" i="10"/>
  <c r="J56" i="10" s="1"/>
  <c r="L56" i="10" s="1"/>
  <c r="P56" i="10" s="1"/>
  <c r="C160" i="10"/>
  <c r="A160" i="10"/>
  <c r="B160" i="10"/>
  <c r="B57" i="10"/>
  <c r="A57" i="10"/>
  <c r="I57" i="10"/>
  <c r="E57" i="10"/>
  <c r="F57" i="10"/>
  <c r="C57" i="10"/>
  <c r="J55" i="10"/>
  <c r="L55" i="10" s="1"/>
  <c r="P55" i="10" s="1"/>
  <c r="T58" i="10"/>
  <c r="S59" i="10"/>
  <c r="U58" i="10"/>
  <c r="A161" i="10" l="1"/>
  <c r="C161" i="10"/>
  <c r="B161" i="10"/>
  <c r="N55" i="10"/>
  <c r="S163" i="10"/>
  <c r="U162" i="10"/>
  <c r="G57" i="10"/>
  <c r="I58" i="10"/>
  <c r="B58" i="10"/>
  <c r="E58" i="10"/>
  <c r="F58" i="10"/>
  <c r="C58" i="10"/>
  <c r="A58" i="10"/>
  <c r="S60" i="10"/>
  <c r="T59" i="10"/>
  <c r="U59" i="10"/>
  <c r="N56" i="10"/>
  <c r="B162" i="10" l="1"/>
  <c r="C162" i="10"/>
  <c r="A162" i="10"/>
  <c r="U163" i="10"/>
  <c r="S164" i="10"/>
  <c r="G58" i="10"/>
  <c r="J58" i="10" s="1"/>
  <c r="L58" i="10" s="1"/>
  <c r="P58" i="10" s="1"/>
  <c r="B59" i="10"/>
  <c r="F59" i="10"/>
  <c r="E59" i="10"/>
  <c r="I59" i="10"/>
  <c r="A59" i="10"/>
  <c r="C59" i="10"/>
  <c r="J57" i="10"/>
  <c r="L57" i="10" s="1"/>
  <c r="P57" i="10" s="1"/>
  <c r="U60" i="10"/>
  <c r="T60" i="10"/>
  <c r="S61" i="10"/>
  <c r="U164" i="10" l="1"/>
  <c r="S165" i="10"/>
  <c r="A163" i="10"/>
  <c r="B163" i="10"/>
  <c r="C163" i="10"/>
  <c r="G59" i="10"/>
  <c r="J59" i="10" s="1"/>
  <c r="L59" i="10" s="1"/>
  <c r="N59" i="10" s="1"/>
  <c r="S62" i="10"/>
  <c r="U61" i="10"/>
  <c r="T61" i="10"/>
  <c r="N58" i="10"/>
  <c r="A60" i="10"/>
  <c r="B60" i="10"/>
  <c r="I60" i="10"/>
  <c r="F60" i="10"/>
  <c r="E60" i="10"/>
  <c r="C60" i="10"/>
  <c r="N57" i="10"/>
  <c r="S166" i="10" l="1"/>
  <c r="U165" i="10"/>
  <c r="A164" i="10"/>
  <c r="C164" i="10"/>
  <c r="B164" i="10"/>
  <c r="P59" i="10"/>
  <c r="G60" i="10"/>
  <c r="J60" i="10" s="1"/>
  <c r="L60" i="10" s="1"/>
  <c r="N60" i="10" s="1"/>
  <c r="I61" i="10"/>
  <c r="A61" i="10"/>
  <c r="E61" i="10"/>
  <c r="C61" i="10"/>
  <c r="F61" i="10"/>
  <c r="B61" i="10"/>
  <c r="S63" i="10"/>
  <c r="T62" i="10"/>
  <c r="U62" i="10"/>
  <c r="A165" i="10" l="1"/>
  <c r="C165" i="10"/>
  <c r="B165" i="10"/>
  <c r="P60" i="10"/>
  <c r="G61" i="10"/>
  <c r="J61" i="10" s="1"/>
  <c r="L61" i="10" s="1"/>
  <c r="P61" i="10" s="1"/>
  <c r="S167" i="10"/>
  <c r="U166" i="10"/>
  <c r="F62" i="10"/>
  <c r="C62" i="10"/>
  <c r="E62" i="10"/>
  <c r="I62" i="10"/>
  <c r="A62" i="10"/>
  <c r="B62" i="10"/>
  <c r="U63" i="10"/>
  <c r="T63" i="10"/>
  <c r="S64" i="10"/>
  <c r="U167" i="10" l="1"/>
  <c r="S168" i="10"/>
  <c r="G62" i="10"/>
  <c r="C166" i="10"/>
  <c r="A166" i="10"/>
  <c r="B166" i="10"/>
  <c r="N61" i="10"/>
  <c r="J62" i="10"/>
  <c r="L62" i="10" s="1"/>
  <c r="N62" i="10" s="1"/>
  <c r="U64" i="10"/>
  <c r="T64" i="10"/>
  <c r="S65" i="10"/>
  <c r="F63" i="10"/>
  <c r="I63" i="10"/>
  <c r="C63" i="10"/>
  <c r="B63" i="10"/>
  <c r="E63" i="10"/>
  <c r="G63" i="10" s="1"/>
  <c r="A63" i="10"/>
  <c r="S169" i="10" l="1"/>
  <c r="U168" i="10"/>
  <c r="A167" i="10"/>
  <c r="B167" i="10"/>
  <c r="C167" i="10"/>
  <c r="P62" i="10"/>
  <c r="J63" i="10"/>
  <c r="L63" i="10" s="1"/>
  <c r="T65" i="10"/>
  <c r="S66" i="10"/>
  <c r="U65" i="10"/>
  <c r="A64" i="10"/>
  <c r="E64" i="10"/>
  <c r="C64" i="10"/>
  <c r="B64" i="10"/>
  <c r="F64" i="10"/>
  <c r="I64" i="10"/>
  <c r="A168" i="10" l="1"/>
  <c r="C168" i="10"/>
  <c r="B168" i="10"/>
  <c r="U169" i="10"/>
  <c r="S170" i="10"/>
  <c r="N63" i="10"/>
  <c r="P63" i="10"/>
  <c r="G64" i="10"/>
  <c r="J64" i="10" s="1"/>
  <c r="L64" i="10" s="1"/>
  <c r="N64" i="10" s="1"/>
  <c r="T66" i="10"/>
  <c r="U66" i="10"/>
  <c r="S67" i="10"/>
  <c r="B65" i="10"/>
  <c r="F65" i="10"/>
  <c r="I65" i="10"/>
  <c r="C65" i="10"/>
  <c r="A65" i="10"/>
  <c r="E65" i="10"/>
  <c r="G65" i="10" l="1"/>
  <c r="U170" i="10"/>
  <c r="S171" i="10"/>
  <c r="B169" i="10"/>
  <c r="C169" i="10"/>
  <c r="A169" i="10"/>
  <c r="J65" i="10"/>
  <c r="L65" i="10" s="1"/>
  <c r="P65" i="10" s="1"/>
  <c r="S68" i="10"/>
  <c r="U67" i="10"/>
  <c r="T67" i="10"/>
  <c r="C66" i="10"/>
  <c r="A66" i="10"/>
  <c r="B66" i="10"/>
  <c r="I66" i="10"/>
  <c r="F66" i="10"/>
  <c r="E66" i="10"/>
  <c r="P64" i="10"/>
  <c r="S172" i="10" l="1"/>
  <c r="U171" i="10"/>
  <c r="B170" i="10"/>
  <c r="A170" i="10"/>
  <c r="C170" i="10"/>
  <c r="G66" i="10"/>
  <c r="E67" i="10"/>
  <c r="F67" i="10"/>
  <c r="B67" i="10"/>
  <c r="A67" i="10"/>
  <c r="I67" i="10"/>
  <c r="C67" i="10"/>
  <c r="S69" i="10"/>
  <c r="T68" i="10"/>
  <c r="U68" i="10"/>
  <c r="N65" i="10"/>
  <c r="A171" i="10" l="1"/>
  <c r="C171" i="10"/>
  <c r="B171" i="10"/>
  <c r="U172" i="10"/>
  <c r="S173" i="10"/>
  <c r="S70" i="10"/>
  <c r="U69" i="10"/>
  <c r="T69" i="10"/>
  <c r="G67" i="10"/>
  <c r="I68" i="10"/>
  <c r="A68" i="10"/>
  <c r="F68" i="10"/>
  <c r="E68" i="10"/>
  <c r="G68" i="10" s="1"/>
  <c r="C68" i="10"/>
  <c r="B68" i="10"/>
  <c r="J66" i="10"/>
  <c r="L66" i="10" s="1"/>
  <c r="P66" i="10" s="1"/>
  <c r="S174" i="10" l="1"/>
  <c r="U173" i="10"/>
  <c r="A172" i="10"/>
  <c r="B172" i="10"/>
  <c r="C172" i="10"/>
  <c r="N66" i="10"/>
  <c r="J67" i="10"/>
  <c r="L67" i="10" s="1"/>
  <c r="P67" i="10" s="1"/>
  <c r="J68" i="10"/>
  <c r="L68" i="10" s="1"/>
  <c r="P68" i="10" s="1"/>
  <c r="B69" i="10"/>
  <c r="I69" i="10"/>
  <c r="F69" i="10"/>
  <c r="E69" i="10"/>
  <c r="C69" i="10"/>
  <c r="A69" i="10"/>
  <c r="S71" i="10"/>
  <c r="U70" i="10"/>
  <c r="T70" i="10"/>
  <c r="B173" i="10" l="1"/>
  <c r="A173" i="10"/>
  <c r="C173" i="10"/>
  <c r="S175" i="10"/>
  <c r="U174" i="10"/>
  <c r="G69" i="10"/>
  <c r="J69" i="10" s="1"/>
  <c r="L69" i="10" s="1"/>
  <c r="N69" i="10" s="1"/>
  <c r="N68" i="10"/>
  <c r="N67" i="10"/>
  <c r="A70" i="10"/>
  <c r="E70" i="10"/>
  <c r="C70" i="10"/>
  <c r="F70" i="10"/>
  <c r="I70" i="10"/>
  <c r="B70" i="10"/>
  <c r="S72" i="10"/>
  <c r="U71" i="10"/>
  <c r="T71" i="10"/>
  <c r="C174" i="10" l="1"/>
  <c r="B174" i="10"/>
  <c r="A174" i="10"/>
  <c r="U175" i="10"/>
  <c r="S176" i="10"/>
  <c r="G70" i="10"/>
  <c r="A71" i="10"/>
  <c r="E71" i="10"/>
  <c r="C71" i="10"/>
  <c r="B71" i="10"/>
  <c r="I71" i="10"/>
  <c r="F71" i="10"/>
  <c r="U72" i="10"/>
  <c r="S73" i="10"/>
  <c r="T72" i="10"/>
  <c r="P69" i="10"/>
  <c r="G71" i="10" l="1"/>
  <c r="S177" i="10"/>
  <c r="U176" i="10"/>
  <c r="A175" i="10"/>
  <c r="C175" i="10"/>
  <c r="B175" i="10"/>
  <c r="A72" i="10"/>
  <c r="I72" i="10"/>
  <c r="C72" i="10"/>
  <c r="B72" i="10"/>
  <c r="E72" i="10"/>
  <c r="F72" i="10"/>
  <c r="T73" i="10"/>
  <c r="U73" i="10"/>
  <c r="S74" i="10"/>
  <c r="J71" i="10"/>
  <c r="L71" i="10" s="1"/>
  <c r="P71" i="10" s="1"/>
  <c r="J70" i="10"/>
  <c r="L70" i="10" s="1"/>
  <c r="P70" i="10" s="1"/>
  <c r="N71" i="10" l="1"/>
  <c r="G72" i="10"/>
  <c r="B176" i="10"/>
  <c r="A176" i="10"/>
  <c r="C176" i="10"/>
  <c r="S178" i="10"/>
  <c r="U177" i="10"/>
  <c r="U74" i="10"/>
  <c r="T74" i="10"/>
  <c r="S75" i="10"/>
  <c r="N70" i="10"/>
  <c r="E73" i="10"/>
  <c r="B73" i="10"/>
  <c r="C73" i="10"/>
  <c r="I73" i="10"/>
  <c r="F73" i="10"/>
  <c r="A73" i="10"/>
  <c r="J72" i="10"/>
  <c r="L72" i="10" s="1"/>
  <c r="P72" i="10" s="1"/>
  <c r="U178" i="10" l="1"/>
  <c r="S179" i="10"/>
  <c r="C177" i="10"/>
  <c r="B177" i="10"/>
  <c r="A177" i="10"/>
  <c r="G73" i="10"/>
  <c r="J73" i="10" s="1"/>
  <c r="L73" i="10" s="1"/>
  <c r="N73" i="10" s="1"/>
  <c r="E74" i="10"/>
  <c r="B74" i="10"/>
  <c r="F74" i="10"/>
  <c r="C74" i="10"/>
  <c r="A74" i="10"/>
  <c r="I74" i="10"/>
  <c r="N72" i="10"/>
  <c r="S76" i="10"/>
  <c r="U75" i="10"/>
  <c r="T75" i="10"/>
  <c r="G74" i="10" l="1"/>
  <c r="U179" i="10"/>
  <c r="S180" i="10"/>
  <c r="C178" i="10"/>
  <c r="B178" i="10"/>
  <c r="A178" i="10"/>
  <c r="P73" i="10"/>
  <c r="A75" i="10"/>
  <c r="C75" i="10"/>
  <c r="E75" i="10"/>
  <c r="B75" i="10"/>
  <c r="F75" i="10"/>
  <c r="I75" i="10"/>
  <c r="U76" i="10"/>
  <c r="S77" i="10"/>
  <c r="T76" i="10"/>
  <c r="J74" i="10"/>
  <c r="L74" i="10" s="1"/>
  <c r="N74" i="10" s="1"/>
  <c r="S181" i="10" l="1"/>
  <c r="U180" i="10"/>
  <c r="B179" i="10"/>
  <c r="A179" i="10"/>
  <c r="C179" i="10"/>
  <c r="P74" i="10"/>
  <c r="U77" i="10"/>
  <c r="S78" i="10"/>
  <c r="T77" i="10"/>
  <c r="I76" i="10"/>
  <c r="C76" i="10"/>
  <c r="A76" i="10"/>
  <c r="F76" i="10"/>
  <c r="B76" i="10"/>
  <c r="E76" i="10"/>
  <c r="G76" i="10" s="1"/>
  <c r="G75" i="10"/>
  <c r="B180" i="10" l="1"/>
  <c r="C180" i="10"/>
  <c r="A180" i="10"/>
  <c r="U181" i="10"/>
  <c r="S182" i="10"/>
  <c r="J75" i="10"/>
  <c r="L75" i="10" s="1"/>
  <c r="P75" i="10" s="1"/>
  <c r="S79" i="10"/>
  <c r="U78" i="10"/>
  <c r="T78" i="10"/>
  <c r="J76" i="10"/>
  <c r="L76" i="10" s="1"/>
  <c r="P76" i="10" s="1"/>
  <c r="F77" i="10"/>
  <c r="C77" i="10"/>
  <c r="I77" i="10"/>
  <c r="E77" i="10"/>
  <c r="A77" i="10"/>
  <c r="B77" i="10"/>
  <c r="S183" i="10" l="1"/>
  <c r="U182" i="10"/>
  <c r="C181" i="10"/>
  <c r="B181" i="10"/>
  <c r="A181" i="10"/>
  <c r="G77" i="10"/>
  <c r="J77" i="10" s="1"/>
  <c r="L77" i="10" s="1"/>
  <c r="N77" i="10" s="1"/>
  <c r="N76" i="10"/>
  <c r="N75" i="10"/>
  <c r="E78" i="10"/>
  <c r="I78" i="10"/>
  <c r="F78" i="10"/>
  <c r="G78" i="10" s="1"/>
  <c r="B78" i="10"/>
  <c r="A78" i="10"/>
  <c r="C78" i="10"/>
  <c r="S80" i="10"/>
  <c r="T79" i="10"/>
  <c r="U79" i="10"/>
  <c r="B182" i="10" l="1"/>
  <c r="C182" i="10"/>
  <c r="A182" i="10"/>
  <c r="S184" i="10"/>
  <c r="U183" i="10"/>
  <c r="P77" i="10"/>
  <c r="U80" i="10"/>
  <c r="S81" i="10"/>
  <c r="T80" i="10"/>
  <c r="J78" i="10"/>
  <c r="L78" i="10" s="1"/>
  <c r="P78" i="10" s="1"/>
  <c r="B79" i="10"/>
  <c r="E79" i="10"/>
  <c r="F79" i="10"/>
  <c r="C79" i="10"/>
  <c r="A79" i="10"/>
  <c r="I79" i="10"/>
  <c r="A183" i="10" l="1"/>
  <c r="C183" i="10"/>
  <c r="B183" i="10"/>
  <c r="S185" i="10"/>
  <c r="U184" i="10"/>
  <c r="G79" i="10"/>
  <c r="J79" i="10" s="1"/>
  <c r="L79" i="10" s="1"/>
  <c r="N79" i="10" s="1"/>
  <c r="N78" i="10"/>
  <c r="U81" i="10"/>
  <c r="T81" i="10"/>
  <c r="S82" i="10"/>
  <c r="I80" i="10"/>
  <c r="B80" i="10"/>
  <c r="E80" i="10"/>
  <c r="F80" i="10"/>
  <c r="A80" i="10"/>
  <c r="C80" i="10"/>
  <c r="B184" i="10" l="1"/>
  <c r="A184" i="10"/>
  <c r="C184" i="10"/>
  <c r="S186" i="10"/>
  <c r="U185" i="10"/>
  <c r="G80" i="10"/>
  <c r="J80" i="10" s="1"/>
  <c r="L80" i="10" s="1"/>
  <c r="P79" i="10"/>
  <c r="T82" i="10"/>
  <c r="U82" i="10"/>
  <c r="S83" i="10"/>
  <c r="F81" i="10"/>
  <c r="C81" i="10"/>
  <c r="E81" i="10"/>
  <c r="G81" i="10" s="1"/>
  <c r="A81" i="10"/>
  <c r="B81" i="10"/>
  <c r="I81" i="10"/>
  <c r="C185" i="10" l="1"/>
  <c r="B185" i="10"/>
  <c r="A185" i="10"/>
  <c r="S187" i="10"/>
  <c r="U186" i="10"/>
  <c r="N80" i="10"/>
  <c r="P80" i="10"/>
  <c r="S84" i="10"/>
  <c r="T83" i="10"/>
  <c r="U83" i="10"/>
  <c r="B82" i="10"/>
  <c r="I82" i="10"/>
  <c r="C82" i="10"/>
  <c r="F82" i="10"/>
  <c r="E82" i="10"/>
  <c r="A82" i="10"/>
  <c r="J81" i="10"/>
  <c r="L81" i="10" s="1"/>
  <c r="A186" i="10" l="1"/>
  <c r="C186" i="10"/>
  <c r="B186" i="10"/>
  <c r="U187" i="10"/>
  <c r="S188" i="10"/>
  <c r="G82" i="10"/>
  <c r="J82" i="10" s="1"/>
  <c r="L82" i="10" s="1"/>
  <c r="P82" i="10" s="1"/>
  <c r="P81" i="10"/>
  <c r="N81" i="10"/>
  <c r="U84" i="10"/>
  <c r="T84" i="10"/>
  <c r="S85" i="10"/>
  <c r="E83" i="10"/>
  <c r="C83" i="10"/>
  <c r="B83" i="10"/>
  <c r="F83" i="10"/>
  <c r="A83" i="10"/>
  <c r="I83" i="10"/>
  <c r="B187" i="10" l="1"/>
  <c r="A187" i="10"/>
  <c r="C187" i="10"/>
  <c r="S189" i="10"/>
  <c r="U188" i="10"/>
  <c r="G83" i="10"/>
  <c r="J83" i="10" s="1"/>
  <c r="L83" i="10" s="1"/>
  <c r="N83" i="10" s="1"/>
  <c r="T85" i="10"/>
  <c r="U85" i="10"/>
  <c r="S86" i="10"/>
  <c r="I84" i="10"/>
  <c r="A84" i="10"/>
  <c r="E84" i="10"/>
  <c r="B84" i="10"/>
  <c r="F84" i="10"/>
  <c r="C84" i="10"/>
  <c r="N82" i="10"/>
  <c r="U189" i="10" l="1"/>
  <c r="S190" i="10"/>
  <c r="B188" i="10"/>
  <c r="A188" i="10"/>
  <c r="C188" i="10"/>
  <c r="G84" i="10"/>
  <c r="J84" i="10" s="1"/>
  <c r="L84" i="10" s="1"/>
  <c r="P84" i="10" s="1"/>
  <c r="P83" i="10"/>
  <c r="U86" i="10"/>
  <c r="T86" i="10"/>
  <c r="S87" i="10"/>
  <c r="E85" i="10"/>
  <c r="F85" i="10"/>
  <c r="A85" i="10"/>
  <c r="I85" i="10"/>
  <c r="C85" i="10"/>
  <c r="B85" i="10"/>
  <c r="S191" i="10" l="1"/>
  <c r="U190" i="10"/>
  <c r="A189" i="10"/>
  <c r="C189" i="10"/>
  <c r="B189" i="10"/>
  <c r="G85" i="10"/>
  <c r="E86" i="10"/>
  <c r="C86" i="10"/>
  <c r="F86" i="10"/>
  <c r="I86" i="10"/>
  <c r="A86" i="10"/>
  <c r="B86" i="10"/>
  <c r="N84" i="10"/>
  <c r="T87" i="10"/>
  <c r="U87" i="10"/>
  <c r="S88" i="10"/>
  <c r="B190" i="10" l="1"/>
  <c r="C190" i="10"/>
  <c r="A190" i="10"/>
  <c r="U191" i="10"/>
  <c r="S192" i="10"/>
  <c r="S89" i="10"/>
  <c r="U88" i="10"/>
  <c r="T88" i="10"/>
  <c r="A87" i="10"/>
  <c r="F87" i="10"/>
  <c r="E87" i="10"/>
  <c r="B87" i="10"/>
  <c r="C87" i="10"/>
  <c r="I87" i="10"/>
  <c r="G86" i="10"/>
  <c r="J85" i="10"/>
  <c r="L85" i="10" s="1"/>
  <c r="P85" i="10" s="1"/>
  <c r="U192" i="10" l="1"/>
  <c r="S193" i="10"/>
  <c r="B191" i="10"/>
  <c r="A191" i="10"/>
  <c r="C191" i="10"/>
  <c r="N85" i="10"/>
  <c r="G87" i="10"/>
  <c r="J87" i="10" s="1"/>
  <c r="L87" i="10" s="1"/>
  <c r="P87" i="10" s="1"/>
  <c r="J86" i="10"/>
  <c r="L86" i="10" s="1"/>
  <c r="P86" i="10" s="1"/>
  <c r="A88" i="10"/>
  <c r="F88" i="10"/>
  <c r="B88" i="10"/>
  <c r="E88" i="10"/>
  <c r="C88" i="10"/>
  <c r="I88" i="10"/>
  <c r="T89" i="10"/>
  <c r="S90" i="10"/>
  <c r="U89" i="10"/>
  <c r="N86" i="10" l="1"/>
  <c r="G88" i="10"/>
  <c r="U193" i="10"/>
  <c r="S194" i="10"/>
  <c r="A192" i="10"/>
  <c r="C192" i="10"/>
  <c r="B192" i="10"/>
  <c r="A89" i="10"/>
  <c r="F89" i="10"/>
  <c r="I89" i="10"/>
  <c r="C89" i="10"/>
  <c r="B89" i="10"/>
  <c r="E89" i="10"/>
  <c r="N87" i="10"/>
  <c r="T90" i="10"/>
  <c r="S91" i="10"/>
  <c r="U90" i="10"/>
  <c r="J88" i="10"/>
  <c r="L88" i="10" s="1"/>
  <c r="S195" i="10" l="1"/>
  <c r="U194" i="10"/>
  <c r="A193" i="10"/>
  <c r="C193" i="10"/>
  <c r="B193" i="10"/>
  <c r="G89" i="10"/>
  <c r="N88" i="10"/>
  <c r="P88" i="10"/>
  <c r="C90" i="10"/>
  <c r="F90" i="10"/>
  <c r="B90" i="10"/>
  <c r="E90" i="10"/>
  <c r="G90" i="10" s="1"/>
  <c r="I90" i="10"/>
  <c r="A90" i="10"/>
  <c r="J89" i="10"/>
  <c r="L89" i="10" s="1"/>
  <c r="N89" i="10" s="1"/>
  <c r="U91" i="10"/>
  <c r="S92" i="10"/>
  <c r="T91" i="10"/>
  <c r="C194" i="10" l="1"/>
  <c r="A194" i="10"/>
  <c r="B194" i="10"/>
  <c r="U195" i="10"/>
  <c r="S196" i="10"/>
  <c r="P89" i="10"/>
  <c r="C91" i="10"/>
  <c r="E91" i="10"/>
  <c r="A91" i="10"/>
  <c r="F91" i="10"/>
  <c r="B91" i="10"/>
  <c r="I91" i="10"/>
  <c r="U92" i="10"/>
  <c r="S93" i="10"/>
  <c r="T92" i="10"/>
  <c r="J90" i="10"/>
  <c r="L90" i="10" s="1"/>
  <c r="P90" i="10" s="1"/>
  <c r="U196" i="10" l="1"/>
  <c r="S197" i="10"/>
  <c r="G91" i="10"/>
  <c r="J91" i="10" s="1"/>
  <c r="L91" i="10" s="1"/>
  <c r="P91" i="10" s="1"/>
  <c r="B195" i="10"/>
  <c r="C195" i="10"/>
  <c r="A195" i="10"/>
  <c r="B92" i="10"/>
  <c r="C92" i="10"/>
  <c r="F92" i="10"/>
  <c r="I92" i="10"/>
  <c r="A92" i="10"/>
  <c r="E92" i="10"/>
  <c r="N90" i="10"/>
  <c r="U93" i="10"/>
  <c r="T93" i="10"/>
  <c r="S94" i="10"/>
  <c r="G92" i="10" l="1"/>
  <c r="U197" i="10"/>
  <c r="S198" i="10"/>
  <c r="B196" i="10"/>
  <c r="A196" i="10"/>
  <c r="C196" i="10"/>
  <c r="B93" i="10"/>
  <c r="C93" i="10"/>
  <c r="E93" i="10"/>
  <c r="F93" i="10"/>
  <c r="A93" i="10"/>
  <c r="I93" i="10"/>
  <c r="N91" i="10"/>
  <c r="U94" i="10"/>
  <c r="T94" i="10"/>
  <c r="S95" i="10"/>
  <c r="J92" i="10"/>
  <c r="L92" i="10" s="1"/>
  <c r="P92" i="10" s="1"/>
  <c r="S199" i="10" l="1"/>
  <c r="U198" i="10"/>
  <c r="B197" i="10"/>
  <c r="C197" i="10"/>
  <c r="A197" i="10"/>
  <c r="I94" i="10"/>
  <c r="C94" i="10"/>
  <c r="E94" i="10"/>
  <c r="A94" i="10"/>
  <c r="B94" i="10"/>
  <c r="F94" i="10"/>
  <c r="G93" i="10"/>
  <c r="N92" i="10"/>
  <c r="U95" i="10"/>
  <c r="S96" i="10"/>
  <c r="T95" i="10"/>
  <c r="G94" i="10" l="1"/>
  <c r="C198" i="10"/>
  <c r="B198" i="10"/>
  <c r="A198" i="10"/>
  <c r="S200" i="10"/>
  <c r="U199" i="10"/>
  <c r="J93" i="10"/>
  <c r="L93" i="10" s="1"/>
  <c r="P93" i="10" s="1"/>
  <c r="F95" i="10"/>
  <c r="B95" i="10"/>
  <c r="E95" i="10"/>
  <c r="C95" i="10"/>
  <c r="A95" i="10"/>
  <c r="I95" i="10"/>
  <c r="S97" i="10"/>
  <c r="T96" i="10"/>
  <c r="U96" i="10"/>
  <c r="J94" i="10"/>
  <c r="L94" i="10" s="1"/>
  <c r="P94" i="10" s="1"/>
  <c r="G95" i="10" l="1"/>
  <c r="B199" i="10"/>
  <c r="A199" i="10"/>
  <c r="C199" i="10"/>
  <c r="S201" i="10"/>
  <c r="U200" i="10"/>
  <c r="N93" i="10"/>
  <c r="N94" i="10"/>
  <c r="T97" i="10"/>
  <c r="S98" i="10"/>
  <c r="U97" i="10"/>
  <c r="J95" i="10"/>
  <c r="L95" i="10" s="1"/>
  <c r="P95" i="10" s="1"/>
  <c r="E96" i="10"/>
  <c r="C96" i="10"/>
  <c r="I96" i="10"/>
  <c r="B96" i="10"/>
  <c r="A96" i="10"/>
  <c r="F96" i="10"/>
  <c r="N95" i="10" l="1"/>
  <c r="B200" i="10"/>
  <c r="C200" i="10"/>
  <c r="A200" i="10"/>
  <c r="S202" i="10"/>
  <c r="U201" i="10"/>
  <c r="F97" i="10"/>
  <c r="E97" i="10"/>
  <c r="A97" i="10"/>
  <c r="C97" i="10"/>
  <c r="I97" i="10"/>
  <c r="B97" i="10"/>
  <c r="G96" i="10"/>
  <c r="U98" i="10"/>
  <c r="S99" i="10"/>
  <c r="T98" i="10"/>
  <c r="A201" i="10" l="1"/>
  <c r="C201" i="10"/>
  <c r="B201" i="10"/>
  <c r="U202" i="10"/>
  <c r="S203" i="10"/>
  <c r="A98" i="10"/>
  <c r="B98" i="10"/>
  <c r="F98" i="10"/>
  <c r="E98" i="10"/>
  <c r="I98" i="10"/>
  <c r="C98" i="10"/>
  <c r="T99" i="10"/>
  <c r="S100" i="10"/>
  <c r="U99" i="10"/>
  <c r="J96" i="10"/>
  <c r="L96" i="10" s="1"/>
  <c r="P96" i="10" s="1"/>
  <c r="G97" i="10"/>
  <c r="J97" i="10" s="1"/>
  <c r="L97" i="10" s="1"/>
  <c r="N97" i="10" s="1"/>
  <c r="B202" i="10" l="1"/>
  <c r="A202" i="10"/>
  <c r="C202" i="10"/>
  <c r="N96" i="10"/>
  <c r="U203" i="10"/>
  <c r="S204" i="10"/>
  <c r="P97" i="10"/>
  <c r="S101" i="10"/>
  <c r="T100" i="10"/>
  <c r="U100" i="10"/>
  <c r="G98" i="10"/>
  <c r="J98" i="10" s="1"/>
  <c r="L98" i="10" s="1"/>
  <c r="N98" i="10" s="1"/>
  <c r="A99" i="10"/>
  <c r="I99" i="10"/>
  <c r="C99" i="10"/>
  <c r="F99" i="10"/>
  <c r="E99" i="10"/>
  <c r="B99" i="10"/>
  <c r="S205" i="10" l="1"/>
  <c r="U204" i="10"/>
  <c r="C203" i="10"/>
  <c r="A203" i="10"/>
  <c r="B203" i="10"/>
  <c r="G99" i="10"/>
  <c r="J99" i="10" s="1"/>
  <c r="L99" i="10" s="1"/>
  <c r="P99" i="10" s="1"/>
  <c r="P98" i="10"/>
  <c r="U101" i="10"/>
  <c r="T101" i="10"/>
  <c r="S102" i="10"/>
  <c r="B100" i="10"/>
  <c r="F100" i="10"/>
  <c r="C100" i="10"/>
  <c r="E100" i="10"/>
  <c r="G100" i="10" s="1"/>
  <c r="I100" i="10"/>
  <c r="A100" i="10"/>
  <c r="B204" i="10" l="1"/>
  <c r="C204" i="10"/>
  <c r="A204" i="10"/>
  <c r="S206" i="10"/>
  <c r="U205" i="10"/>
  <c r="B101" i="10"/>
  <c r="I101" i="10"/>
  <c r="A101" i="10"/>
  <c r="C101" i="10"/>
  <c r="F101" i="10"/>
  <c r="E101" i="10"/>
  <c r="J100" i="10"/>
  <c r="L100" i="10" s="1"/>
  <c r="P100" i="10" s="1"/>
  <c r="N99" i="10"/>
  <c r="S103" i="10"/>
  <c r="U102" i="10"/>
  <c r="T102" i="10"/>
  <c r="A205" i="10" l="1"/>
  <c r="B205" i="10"/>
  <c r="C205" i="10"/>
  <c r="U206" i="10"/>
  <c r="S207" i="10"/>
  <c r="N100" i="10"/>
  <c r="G101" i="10"/>
  <c r="E102" i="10"/>
  <c r="I102" i="10"/>
  <c r="C102" i="10"/>
  <c r="F102" i="10"/>
  <c r="B102" i="10"/>
  <c r="A102" i="10"/>
  <c r="S104" i="10"/>
  <c r="T103" i="10"/>
  <c r="U103" i="10"/>
  <c r="U207" i="10" l="1"/>
  <c r="S208" i="10"/>
  <c r="C206" i="10"/>
  <c r="B206" i="10"/>
  <c r="A206" i="10"/>
  <c r="S105" i="10"/>
  <c r="T104" i="10"/>
  <c r="U104" i="10"/>
  <c r="G102" i="10"/>
  <c r="J101" i="10"/>
  <c r="L101" i="10" s="1"/>
  <c r="P101" i="10" s="1"/>
  <c r="B103" i="10"/>
  <c r="F103" i="10"/>
  <c r="A103" i="10"/>
  <c r="C103" i="10"/>
  <c r="E103" i="10"/>
  <c r="I103" i="10"/>
  <c r="U208" i="10" l="1"/>
  <c r="S209" i="10"/>
  <c r="C207" i="10"/>
  <c r="B207" i="10"/>
  <c r="A207" i="10"/>
  <c r="G103" i="10"/>
  <c r="N101" i="10"/>
  <c r="J102" i="10"/>
  <c r="L102" i="10" s="1"/>
  <c r="P102" i="10" s="1"/>
  <c r="F104" i="10"/>
  <c r="B104" i="10"/>
  <c r="A104" i="10"/>
  <c r="E104" i="10"/>
  <c r="I104" i="10"/>
  <c r="C104" i="10"/>
  <c r="U105" i="10"/>
  <c r="T105" i="10"/>
  <c r="S106" i="10"/>
  <c r="U209" i="10" l="1"/>
  <c r="S210" i="10"/>
  <c r="A208" i="10"/>
  <c r="C208" i="10"/>
  <c r="B208" i="10"/>
  <c r="G104" i="10"/>
  <c r="J104" i="10" s="1"/>
  <c r="L104" i="10" s="1"/>
  <c r="N104" i="10" s="1"/>
  <c r="N102" i="10"/>
  <c r="S107" i="10"/>
  <c r="U106" i="10"/>
  <c r="T106" i="10"/>
  <c r="J103" i="10"/>
  <c r="L103" i="10" s="1"/>
  <c r="P103" i="10" s="1"/>
  <c r="F105" i="10"/>
  <c r="E105" i="10"/>
  <c r="I105" i="10"/>
  <c r="C105" i="10"/>
  <c r="A105" i="10"/>
  <c r="B105" i="10"/>
  <c r="P104" i="10" l="1"/>
  <c r="S211" i="10"/>
  <c r="U210" i="10"/>
  <c r="B209" i="10"/>
  <c r="A209" i="10"/>
  <c r="C209" i="10"/>
  <c r="G105" i="10"/>
  <c r="N103" i="10"/>
  <c r="B106" i="10"/>
  <c r="C106" i="10"/>
  <c r="A106" i="10"/>
  <c r="E106" i="10"/>
  <c r="I106" i="10"/>
  <c r="F106" i="10"/>
  <c r="U107" i="10"/>
  <c r="T107" i="10"/>
  <c r="S108" i="10"/>
  <c r="C210" i="10" l="1"/>
  <c r="B210" i="10"/>
  <c r="A210" i="10"/>
  <c r="U211" i="10"/>
  <c r="S212" i="10"/>
  <c r="S109" i="10"/>
  <c r="U108" i="10"/>
  <c r="T108" i="10"/>
  <c r="A107" i="10"/>
  <c r="B107" i="10"/>
  <c r="E107" i="10"/>
  <c r="I107" i="10"/>
  <c r="F107" i="10"/>
  <c r="G107" i="10" s="1"/>
  <c r="C107" i="10"/>
  <c r="G106" i="10"/>
  <c r="J105" i="10"/>
  <c r="L105" i="10" s="1"/>
  <c r="P105" i="10" s="1"/>
  <c r="N105" i="10" l="1"/>
  <c r="U212" i="10"/>
  <c r="S213" i="10"/>
  <c r="B211" i="10"/>
  <c r="A211" i="10"/>
  <c r="C211" i="10"/>
  <c r="J106" i="10"/>
  <c r="L106" i="10" s="1"/>
  <c r="P106" i="10" s="1"/>
  <c r="J107" i="10"/>
  <c r="L107" i="10" s="1"/>
  <c r="N107" i="10" s="1"/>
  <c r="C108" i="10"/>
  <c r="F108" i="10"/>
  <c r="A108" i="10"/>
  <c r="E108" i="10"/>
  <c r="I108" i="10"/>
  <c r="B108" i="10"/>
  <c r="T109" i="10"/>
  <c r="U109" i="10"/>
  <c r="P107" i="10" l="1"/>
  <c r="U213" i="10"/>
  <c r="S214" i="10"/>
  <c r="B212" i="10"/>
  <c r="A212" i="10"/>
  <c r="C212" i="10"/>
  <c r="G108" i="10"/>
  <c r="J108" i="10" s="1"/>
  <c r="L108" i="10" s="1"/>
  <c r="P108" i="10" s="1"/>
  <c r="E109" i="10"/>
  <c r="C109" i="10"/>
  <c r="C110" i="10" s="1"/>
  <c r="B109" i="10"/>
  <c r="A109" i="10"/>
  <c r="I109" i="10"/>
  <c r="I110" i="10" s="1"/>
  <c r="I362" i="10" s="1"/>
  <c r="F109" i="10"/>
  <c r="F110" i="10" s="1"/>
  <c r="F362" i="10" s="1"/>
  <c r="N106" i="10"/>
  <c r="U214" i="10" l="1"/>
  <c r="S215" i="10"/>
  <c r="C213" i="10"/>
  <c r="A213" i="10"/>
  <c r="B213" i="10"/>
  <c r="N108" i="10"/>
  <c r="C370" i="10"/>
  <c r="G109" i="10"/>
  <c r="E110" i="10"/>
  <c r="U215" i="10" l="1"/>
  <c r="S216" i="10"/>
  <c r="C214" i="10"/>
  <c r="B214" i="10"/>
  <c r="A214" i="10"/>
  <c r="C371" i="10"/>
  <c r="C372" i="10" s="1"/>
  <c r="C373" i="10" s="1"/>
  <c r="E362" i="10"/>
  <c r="G362" i="10" s="1"/>
  <c r="J109" i="10"/>
  <c r="L109" i="10" s="1"/>
  <c r="N109" i="10" s="1"/>
  <c r="N110" i="10" s="1"/>
  <c r="N362" i="10" s="1"/>
  <c r="G110" i="10"/>
  <c r="J110" i="10" s="1"/>
  <c r="J362" i="10" s="1"/>
  <c r="S217" i="10" l="1"/>
  <c r="U216" i="10"/>
  <c r="B215" i="10"/>
  <c r="A215" i="10"/>
  <c r="C215" i="10"/>
  <c r="P109" i="10"/>
  <c r="P110" i="10" s="1"/>
  <c r="L110" i="10"/>
  <c r="L362" i="10" s="1"/>
  <c r="B216" i="10" l="1"/>
  <c r="C216" i="10"/>
  <c r="A216" i="10"/>
  <c r="S218" i="10"/>
  <c r="U217" i="10"/>
  <c r="B217" i="10" l="1"/>
  <c r="C217" i="10"/>
  <c r="A217" i="10"/>
  <c r="S219" i="10"/>
  <c r="U218" i="10"/>
  <c r="C218" i="10" l="1"/>
  <c r="B218" i="10"/>
  <c r="A218" i="10"/>
  <c r="U219" i="10"/>
  <c r="S220" i="10"/>
  <c r="U220" i="10" l="1"/>
  <c r="S221" i="10"/>
  <c r="C219" i="10"/>
  <c r="A219" i="10"/>
  <c r="B219" i="10"/>
  <c r="U221" i="10" l="1"/>
  <c r="S222" i="10"/>
  <c r="A220" i="10"/>
  <c r="C220" i="10"/>
  <c r="B220" i="10"/>
  <c r="S223" i="10" l="1"/>
  <c r="U222" i="10"/>
  <c r="A221" i="10"/>
  <c r="B221" i="10"/>
  <c r="C221" i="10"/>
  <c r="A222" i="10" l="1"/>
  <c r="B222" i="10"/>
  <c r="C222" i="10"/>
  <c r="U223" i="10"/>
  <c r="S224" i="10"/>
  <c r="S225" i="10" l="1"/>
  <c r="U224" i="10"/>
  <c r="A223" i="10"/>
  <c r="B223" i="10"/>
  <c r="C223" i="10"/>
  <c r="B224" i="10" l="1"/>
  <c r="A224" i="10"/>
  <c r="C224" i="10"/>
  <c r="S226" i="10"/>
  <c r="U225" i="10"/>
  <c r="A225" i="10" l="1"/>
  <c r="C225" i="10"/>
  <c r="B225" i="10"/>
  <c r="U226" i="10"/>
  <c r="S227" i="10"/>
  <c r="S228" i="10" l="1"/>
  <c r="U227" i="10"/>
  <c r="C226" i="10"/>
  <c r="B226" i="10"/>
  <c r="A226" i="10"/>
  <c r="B227" i="10" l="1"/>
  <c r="A227" i="10"/>
  <c r="C227" i="10"/>
  <c r="S229" i="10"/>
  <c r="U228" i="10"/>
  <c r="B228" i="10" l="1"/>
  <c r="A228" i="10"/>
  <c r="C228" i="10"/>
  <c r="U229" i="10"/>
  <c r="S230" i="10"/>
  <c r="U230" i="10" l="1"/>
  <c r="S231" i="10"/>
  <c r="A229" i="10"/>
  <c r="B229" i="10"/>
  <c r="C229" i="10"/>
  <c r="S232" i="10" l="1"/>
  <c r="U231" i="10"/>
  <c r="C230" i="10"/>
  <c r="B230" i="10"/>
  <c r="A230" i="10"/>
  <c r="B231" i="10" l="1"/>
  <c r="C231" i="10"/>
  <c r="A231" i="10"/>
  <c r="U232" i="10"/>
  <c r="S233" i="10"/>
  <c r="U233" i="10" l="1"/>
  <c r="S234" i="10"/>
  <c r="C232" i="10"/>
  <c r="B232" i="10"/>
  <c r="A232" i="10"/>
  <c r="S235" i="10" l="1"/>
  <c r="U234" i="10"/>
  <c r="C233" i="10"/>
  <c r="B233" i="10"/>
  <c r="A233" i="10"/>
  <c r="A234" i="10" l="1"/>
  <c r="B234" i="10"/>
  <c r="C234" i="10"/>
  <c r="U235" i="10"/>
  <c r="S236" i="10"/>
  <c r="U236" i="10" l="1"/>
  <c r="S237" i="10"/>
  <c r="B235" i="10"/>
  <c r="C235" i="10"/>
  <c r="A235" i="10"/>
  <c r="S238" i="10" l="1"/>
  <c r="U237" i="10"/>
  <c r="B236" i="10"/>
  <c r="C236" i="10"/>
  <c r="A236" i="10"/>
  <c r="A237" i="10" l="1"/>
  <c r="B237" i="10"/>
  <c r="C237" i="10"/>
  <c r="U238" i="10"/>
  <c r="S239" i="10"/>
  <c r="U239" i="10" l="1"/>
  <c r="S240" i="10"/>
  <c r="C238" i="10"/>
  <c r="A238" i="10"/>
  <c r="B238" i="10"/>
  <c r="U240" i="10" l="1"/>
  <c r="S241" i="10"/>
  <c r="A239" i="10"/>
  <c r="C239" i="10"/>
  <c r="B239" i="10"/>
  <c r="U241" i="10" l="1"/>
  <c r="S242" i="10"/>
  <c r="C240" i="10"/>
  <c r="A240" i="10"/>
  <c r="B240" i="10"/>
  <c r="S243" i="10" l="1"/>
  <c r="U242" i="10"/>
  <c r="B241" i="10"/>
  <c r="C241" i="10"/>
  <c r="A241" i="10"/>
  <c r="B242" i="10" l="1"/>
  <c r="C242" i="10"/>
  <c r="A242" i="10"/>
  <c r="S244" i="10"/>
  <c r="U243" i="10"/>
  <c r="A243" i="10" l="1"/>
  <c r="B243" i="10"/>
  <c r="C243" i="10"/>
  <c r="S245" i="10"/>
  <c r="U244" i="10"/>
  <c r="A244" i="10" l="1"/>
  <c r="C244" i="10"/>
  <c r="B244" i="10"/>
  <c r="S246" i="10"/>
  <c r="U245" i="10"/>
  <c r="B245" i="10" l="1"/>
  <c r="A245" i="10"/>
  <c r="C245" i="10"/>
  <c r="S247" i="10"/>
  <c r="U246" i="10"/>
  <c r="A246" i="10" l="1"/>
  <c r="C246" i="10"/>
  <c r="B246" i="10"/>
  <c r="U247" i="10"/>
  <c r="S248" i="10"/>
  <c r="U248" i="10" l="1"/>
  <c r="S249" i="10"/>
  <c r="C247" i="10"/>
  <c r="B247" i="10"/>
  <c r="A247" i="10"/>
  <c r="U249" i="10" l="1"/>
  <c r="S250" i="10"/>
  <c r="B248" i="10"/>
  <c r="A248" i="10"/>
  <c r="C248" i="10"/>
  <c r="U250" i="10" l="1"/>
  <c r="S251" i="10"/>
  <c r="B249" i="10"/>
  <c r="A249" i="10"/>
  <c r="C249" i="10"/>
  <c r="U251" i="10" l="1"/>
  <c r="S252" i="10"/>
  <c r="B250" i="10"/>
  <c r="A250" i="10"/>
  <c r="C250" i="10"/>
  <c r="U252" i="10" l="1"/>
  <c r="S253" i="10"/>
  <c r="A251" i="10"/>
  <c r="C251" i="10"/>
  <c r="B251" i="10"/>
  <c r="U253" i="10" l="1"/>
  <c r="S254" i="10"/>
  <c r="C252" i="10"/>
  <c r="A252" i="10"/>
  <c r="B252" i="10"/>
  <c r="S255" i="10" l="1"/>
  <c r="U254" i="10"/>
  <c r="A253" i="10"/>
  <c r="C253" i="10"/>
  <c r="B253" i="10"/>
  <c r="B254" i="10" l="1"/>
  <c r="C254" i="10"/>
  <c r="A254" i="10"/>
  <c r="S256" i="10"/>
  <c r="U255" i="10"/>
  <c r="B255" i="10" l="1"/>
  <c r="C255" i="10"/>
  <c r="A255" i="10"/>
  <c r="U256" i="10"/>
  <c r="S257" i="10"/>
  <c r="S258" i="10" l="1"/>
  <c r="U257" i="10"/>
  <c r="C256" i="10"/>
  <c r="A256" i="10"/>
  <c r="B256" i="10"/>
  <c r="B257" i="10" l="1"/>
  <c r="A257" i="10"/>
  <c r="C257" i="10"/>
  <c r="U258" i="10"/>
  <c r="S259" i="10"/>
  <c r="S260" i="10" l="1"/>
  <c r="U259" i="10"/>
  <c r="B258" i="10"/>
  <c r="A258" i="10"/>
  <c r="C258" i="10"/>
  <c r="A259" i="10" l="1"/>
  <c r="B259" i="10"/>
  <c r="C259" i="10"/>
  <c r="U260" i="10"/>
  <c r="S261" i="10"/>
  <c r="B260" i="10" l="1"/>
  <c r="A260" i="10"/>
  <c r="C260" i="10"/>
  <c r="S262" i="10"/>
  <c r="U261" i="10"/>
  <c r="B261" i="10" l="1"/>
  <c r="C261" i="10"/>
  <c r="A261" i="10"/>
  <c r="S263" i="10"/>
  <c r="U262" i="10"/>
  <c r="B262" i="10" l="1"/>
  <c r="C262" i="10"/>
  <c r="A262" i="10"/>
  <c r="U263" i="10"/>
  <c r="S264" i="10"/>
  <c r="U264" i="10" l="1"/>
  <c r="S265" i="10"/>
  <c r="C263" i="10"/>
  <c r="B263" i="10"/>
  <c r="A263" i="10"/>
  <c r="S266" i="10" l="1"/>
  <c r="U265" i="10"/>
  <c r="C264" i="10"/>
  <c r="A264" i="10"/>
  <c r="B264" i="10"/>
  <c r="A265" i="10" l="1"/>
  <c r="C265" i="10"/>
  <c r="B265" i="10"/>
  <c r="U266" i="10"/>
  <c r="S267" i="10"/>
  <c r="U267" i="10" l="1"/>
  <c r="S268" i="10"/>
  <c r="B266" i="10"/>
  <c r="C266" i="10"/>
  <c r="A266" i="10"/>
  <c r="U268" i="10" l="1"/>
  <c r="S269" i="10"/>
  <c r="A267" i="10"/>
  <c r="C267" i="10"/>
  <c r="B267" i="10"/>
  <c r="S270" i="10" l="1"/>
  <c r="U269" i="10"/>
  <c r="C268" i="10"/>
  <c r="A268" i="10"/>
  <c r="B268" i="10"/>
  <c r="B269" i="10" l="1"/>
  <c r="C269" i="10"/>
  <c r="A269" i="10"/>
  <c r="S271" i="10"/>
  <c r="U270" i="10"/>
  <c r="A270" i="10" l="1"/>
  <c r="B270" i="10"/>
  <c r="C270" i="10"/>
  <c r="S272" i="10"/>
  <c r="U271" i="10"/>
  <c r="S273" i="10" l="1"/>
  <c r="U272" i="10"/>
  <c r="A271" i="10"/>
  <c r="B271" i="10"/>
  <c r="C271" i="10"/>
  <c r="B272" i="10" l="1"/>
  <c r="A272" i="10"/>
  <c r="C272" i="10"/>
  <c r="U273" i="10"/>
  <c r="S274" i="10"/>
  <c r="U274" i="10" l="1"/>
  <c r="S275" i="10"/>
  <c r="A273" i="10"/>
  <c r="B273" i="10"/>
  <c r="C273" i="10"/>
  <c r="U275" i="10" l="1"/>
  <c r="S276" i="10"/>
  <c r="A274" i="10"/>
  <c r="B274" i="10"/>
  <c r="C274" i="10"/>
  <c r="U276" i="10" l="1"/>
  <c r="S277" i="10"/>
  <c r="C275" i="10"/>
  <c r="B275" i="10"/>
  <c r="A275" i="10"/>
  <c r="S278" i="10" l="1"/>
  <c r="U277" i="10"/>
  <c r="C276" i="10"/>
  <c r="A276" i="10"/>
  <c r="B276" i="10"/>
  <c r="B277" i="10" l="1"/>
  <c r="A277" i="10"/>
  <c r="C277" i="10"/>
  <c r="U278" i="10"/>
  <c r="S279" i="10"/>
  <c r="U279" i="10" l="1"/>
  <c r="S280" i="10"/>
  <c r="C278" i="10"/>
  <c r="A278" i="10"/>
  <c r="B278" i="10"/>
  <c r="U280" i="10" l="1"/>
  <c r="S281" i="10"/>
  <c r="C279" i="10"/>
  <c r="B279" i="10"/>
  <c r="A279" i="10"/>
  <c r="U281" i="10" l="1"/>
  <c r="S282" i="10"/>
  <c r="A280" i="10"/>
  <c r="B280" i="10"/>
  <c r="C280" i="10"/>
  <c r="S283" i="10" l="1"/>
  <c r="U282" i="10"/>
  <c r="C281" i="10"/>
  <c r="B281" i="10"/>
  <c r="A281" i="10"/>
  <c r="B282" i="10" l="1"/>
  <c r="A282" i="10"/>
  <c r="C282" i="10"/>
  <c r="U283" i="10"/>
  <c r="S284" i="10"/>
  <c r="S285" i="10" l="1"/>
  <c r="U284" i="10"/>
  <c r="C283" i="10"/>
  <c r="B283" i="10"/>
  <c r="A283" i="10"/>
  <c r="A284" i="10" l="1"/>
  <c r="C284" i="10"/>
  <c r="B284" i="10"/>
  <c r="S286" i="10"/>
  <c r="U285" i="10"/>
  <c r="A285" i="10" l="1"/>
  <c r="B285" i="10"/>
  <c r="C285" i="10"/>
  <c r="S287" i="10"/>
  <c r="U286" i="10"/>
  <c r="C286" i="10" l="1"/>
  <c r="A286" i="10"/>
  <c r="B286" i="10"/>
  <c r="U287" i="10"/>
  <c r="S288" i="10"/>
  <c r="S289" i="10" l="1"/>
  <c r="U288" i="10"/>
  <c r="C287" i="10"/>
  <c r="B287" i="10"/>
  <c r="A287" i="10"/>
  <c r="C288" i="10" l="1"/>
  <c r="A288" i="10"/>
  <c r="B288" i="10"/>
  <c r="U289" i="10"/>
  <c r="S290" i="10"/>
  <c r="U290" i="10" l="1"/>
  <c r="S291" i="10"/>
  <c r="A289" i="10"/>
  <c r="B289" i="10"/>
  <c r="C289" i="10"/>
  <c r="S292" i="10" l="1"/>
  <c r="U291" i="10"/>
  <c r="B290" i="10"/>
  <c r="A290" i="10"/>
  <c r="C290" i="10"/>
  <c r="C291" i="10" l="1"/>
  <c r="B291" i="10"/>
  <c r="A291" i="10"/>
  <c r="S293" i="10"/>
  <c r="U292" i="10"/>
  <c r="B292" i="10" l="1"/>
  <c r="C292" i="10"/>
  <c r="A292" i="10"/>
  <c r="S294" i="10"/>
  <c r="U293" i="10"/>
  <c r="A293" i="10" l="1"/>
  <c r="B293" i="10"/>
  <c r="C293" i="10"/>
  <c r="S295" i="10"/>
  <c r="U294" i="10"/>
  <c r="B294" i="10" l="1"/>
  <c r="C294" i="10"/>
  <c r="A294" i="10"/>
  <c r="U295" i="10"/>
  <c r="S296" i="10"/>
  <c r="U296" i="10" l="1"/>
  <c r="S297" i="10"/>
  <c r="C295" i="10"/>
  <c r="B295" i="10"/>
  <c r="A295" i="10"/>
  <c r="S298" i="10" l="1"/>
  <c r="U297" i="10"/>
  <c r="B296" i="10"/>
  <c r="A296" i="10"/>
  <c r="C296" i="10"/>
  <c r="A297" i="10" l="1"/>
  <c r="C297" i="10"/>
  <c r="B297" i="10"/>
  <c r="S299" i="10"/>
  <c r="U298" i="10"/>
  <c r="A298" i="10" l="1"/>
  <c r="C298" i="10"/>
  <c r="B298" i="10"/>
  <c r="U299" i="10"/>
  <c r="S300" i="10"/>
  <c r="U300" i="10" l="1"/>
  <c r="S301" i="10"/>
  <c r="A299" i="10"/>
  <c r="C299" i="10"/>
  <c r="B299" i="10"/>
  <c r="S302" i="10" l="1"/>
  <c r="U301" i="10"/>
  <c r="B300" i="10"/>
  <c r="A300" i="10"/>
  <c r="C300" i="10"/>
  <c r="B301" i="10" l="1"/>
  <c r="A301" i="10"/>
  <c r="C301" i="10"/>
  <c r="S303" i="10"/>
  <c r="U302" i="10"/>
  <c r="C302" i="10" l="1"/>
  <c r="B302" i="10"/>
  <c r="A302" i="10"/>
  <c r="U303" i="10"/>
  <c r="S304" i="10"/>
  <c r="U304" i="10" l="1"/>
  <c r="S305" i="10"/>
  <c r="C303" i="10"/>
  <c r="B303" i="10"/>
  <c r="A303" i="10"/>
  <c r="S306" i="10" l="1"/>
  <c r="U305" i="10"/>
  <c r="B304" i="10"/>
  <c r="A304" i="10"/>
  <c r="C304" i="10"/>
  <c r="A305" i="10" l="1"/>
  <c r="C305" i="10"/>
  <c r="B305" i="10"/>
  <c r="S307" i="10"/>
  <c r="U306" i="10"/>
  <c r="B306" i="10" l="1"/>
  <c r="C306" i="10"/>
  <c r="A306" i="10"/>
  <c r="U307" i="10"/>
  <c r="S308" i="10"/>
  <c r="U308" i="10" l="1"/>
  <c r="S309" i="10"/>
  <c r="A307" i="10"/>
  <c r="C307" i="10"/>
  <c r="B307" i="10"/>
  <c r="U309" i="10" l="1"/>
  <c r="S310" i="10"/>
  <c r="B308" i="10"/>
  <c r="C308" i="10"/>
  <c r="A308" i="10"/>
  <c r="S311" i="10" l="1"/>
  <c r="U310" i="10"/>
  <c r="C309" i="10"/>
  <c r="A309" i="10"/>
  <c r="B309" i="10"/>
  <c r="C310" i="10" l="1"/>
  <c r="A310" i="10"/>
  <c r="B310" i="10"/>
  <c r="S312" i="10"/>
  <c r="U311" i="10"/>
  <c r="B311" i="10" l="1"/>
  <c r="A311" i="10"/>
  <c r="C311" i="10"/>
  <c r="U312" i="10"/>
  <c r="S313" i="10"/>
  <c r="U313" i="10" l="1"/>
  <c r="S314" i="10"/>
  <c r="C312" i="10"/>
  <c r="B312" i="10"/>
  <c r="A312" i="10"/>
  <c r="U314" i="10" l="1"/>
  <c r="S315" i="10"/>
  <c r="C313" i="10"/>
  <c r="B313" i="10"/>
  <c r="A313" i="10"/>
  <c r="U315" i="10" l="1"/>
  <c r="S316" i="10"/>
  <c r="B314" i="10"/>
  <c r="A314" i="10"/>
  <c r="C314" i="10"/>
  <c r="S317" i="10" l="1"/>
  <c r="U316" i="10"/>
  <c r="C315" i="10"/>
  <c r="A315" i="10"/>
  <c r="B315" i="10"/>
  <c r="C316" i="10" l="1"/>
  <c r="B316" i="10"/>
  <c r="A316" i="10"/>
  <c r="U317" i="10"/>
  <c r="S318" i="10"/>
  <c r="S319" i="10" l="1"/>
  <c r="U318" i="10"/>
  <c r="C317" i="10"/>
  <c r="B317" i="10"/>
  <c r="A317" i="10"/>
  <c r="A318" i="10" l="1"/>
  <c r="B318" i="10"/>
  <c r="C318" i="10"/>
  <c r="S320" i="10"/>
  <c r="U319" i="10"/>
  <c r="A319" i="10" l="1"/>
  <c r="C319" i="10"/>
  <c r="B319" i="10"/>
  <c r="S321" i="10"/>
  <c r="U320" i="10"/>
  <c r="A320" i="10" l="1"/>
  <c r="B320" i="10"/>
  <c r="C320" i="10"/>
  <c r="S322" i="10"/>
  <c r="U321" i="10"/>
  <c r="C321" i="10" l="1"/>
  <c r="A321" i="10"/>
  <c r="B321" i="10"/>
  <c r="U322" i="10"/>
  <c r="S323" i="10"/>
  <c r="A322" i="10" l="1"/>
  <c r="B322" i="10"/>
  <c r="C322" i="10"/>
  <c r="S324" i="10"/>
  <c r="U323" i="10"/>
  <c r="B323" i="10" l="1"/>
  <c r="C323" i="10"/>
  <c r="A323" i="10"/>
  <c r="S325" i="10"/>
  <c r="U324" i="10"/>
  <c r="A324" i="10" l="1"/>
  <c r="C324" i="10"/>
  <c r="B324" i="10"/>
  <c r="U325" i="10"/>
  <c r="S326" i="10"/>
  <c r="S327" i="10" l="1"/>
  <c r="U326" i="10"/>
  <c r="A325" i="10"/>
  <c r="B325" i="10"/>
  <c r="C325" i="10"/>
  <c r="C326" i="10" l="1"/>
  <c r="A326" i="10"/>
  <c r="B326" i="10"/>
  <c r="U327" i="10"/>
  <c r="S328" i="10"/>
  <c r="U328" i="10" l="1"/>
  <c r="S329" i="10"/>
  <c r="B327" i="10"/>
  <c r="C327" i="10"/>
  <c r="A327" i="10"/>
  <c r="S330" i="10" l="1"/>
  <c r="U329" i="10"/>
  <c r="C328" i="10"/>
  <c r="A328" i="10"/>
  <c r="B328" i="10"/>
  <c r="A329" i="10" l="1"/>
  <c r="B329" i="10"/>
  <c r="C329" i="10"/>
  <c r="S331" i="10"/>
  <c r="U330" i="10"/>
  <c r="A330" i="10" l="1"/>
  <c r="C330" i="10"/>
  <c r="B330" i="10"/>
  <c r="U331" i="10"/>
  <c r="S332" i="10"/>
  <c r="S333" i="10" l="1"/>
  <c r="U332" i="10"/>
  <c r="C331" i="10"/>
  <c r="B331" i="10"/>
  <c r="A331" i="10"/>
  <c r="C332" i="10" l="1"/>
  <c r="B332" i="10"/>
  <c r="A332" i="10"/>
  <c r="S334" i="10"/>
  <c r="U333" i="10"/>
  <c r="C333" i="10" l="1"/>
  <c r="A333" i="10"/>
  <c r="B333" i="10"/>
  <c r="S335" i="10"/>
  <c r="U334" i="10"/>
  <c r="C334" i="10" l="1"/>
  <c r="A334" i="10"/>
  <c r="B334" i="10"/>
  <c r="U335" i="10"/>
  <c r="S336" i="10"/>
  <c r="S337" i="10" l="1"/>
  <c r="U336" i="10"/>
  <c r="B335" i="10"/>
  <c r="A335" i="10"/>
  <c r="C335" i="10"/>
  <c r="C336" i="10" l="1"/>
  <c r="A336" i="10"/>
  <c r="B336" i="10"/>
  <c r="S338" i="10"/>
  <c r="U337" i="10"/>
  <c r="C337" i="10" l="1"/>
  <c r="B337" i="10"/>
  <c r="A337" i="10"/>
  <c r="U338" i="10"/>
  <c r="S339" i="10"/>
  <c r="S340" i="10" l="1"/>
  <c r="U339" i="10"/>
  <c r="A338" i="10"/>
  <c r="C338" i="10"/>
  <c r="B338" i="10"/>
  <c r="A339" i="10" l="1"/>
  <c r="B339" i="10"/>
  <c r="C339" i="10"/>
  <c r="U340" i="10"/>
  <c r="S341" i="10"/>
  <c r="S342" i="10" l="1"/>
  <c r="U341" i="10"/>
  <c r="B340" i="10"/>
  <c r="A340" i="10"/>
  <c r="C340" i="10"/>
  <c r="A341" i="10" l="1"/>
  <c r="B341" i="10"/>
  <c r="C341" i="10"/>
  <c r="S343" i="10"/>
  <c r="U342" i="10"/>
  <c r="B342" i="10" l="1"/>
  <c r="A342" i="10"/>
  <c r="C342" i="10"/>
  <c r="U343" i="10"/>
  <c r="S344" i="10"/>
  <c r="S345" i="10" l="1"/>
  <c r="U344" i="10"/>
  <c r="C343" i="10"/>
  <c r="B343" i="10"/>
  <c r="A343" i="10"/>
  <c r="A344" i="10" l="1"/>
  <c r="B344" i="10"/>
  <c r="C344" i="10"/>
  <c r="U345" i="10"/>
  <c r="S346" i="10"/>
  <c r="U346" i="10" l="1"/>
  <c r="S347" i="10"/>
  <c r="C345" i="10"/>
  <c r="A345" i="10"/>
  <c r="B345" i="10"/>
  <c r="S348" i="10" l="1"/>
  <c r="U347" i="10"/>
  <c r="C346" i="10"/>
  <c r="B346" i="10"/>
  <c r="A346" i="10"/>
  <c r="A347" i="10" l="1"/>
  <c r="B347" i="10"/>
  <c r="C347" i="10"/>
  <c r="U348" i="10"/>
  <c r="S349" i="10"/>
  <c r="U349" i="10" l="1"/>
  <c r="S350" i="10"/>
  <c r="C348" i="10"/>
  <c r="A348" i="10"/>
  <c r="B348" i="10"/>
  <c r="U350" i="10" l="1"/>
  <c r="S351" i="10"/>
  <c r="C349" i="10"/>
  <c r="B349" i="10"/>
  <c r="A349" i="10"/>
  <c r="S352" i="10" l="1"/>
  <c r="U351" i="10"/>
  <c r="B350" i="10"/>
  <c r="C350" i="10"/>
  <c r="A350" i="10"/>
  <c r="C351" i="10" l="1"/>
  <c r="A351" i="10"/>
  <c r="B351" i="10"/>
  <c r="S353" i="10"/>
  <c r="U352" i="10"/>
  <c r="A352" i="10" l="1"/>
  <c r="C352" i="10"/>
  <c r="B352" i="10"/>
  <c r="U353" i="10"/>
  <c r="S354" i="10"/>
  <c r="U354" i="10" l="1"/>
  <c r="S355" i="10"/>
  <c r="C353" i="10"/>
  <c r="A353" i="10"/>
  <c r="B353" i="10"/>
  <c r="S356" i="10" l="1"/>
  <c r="U355" i="10"/>
  <c r="A354" i="10"/>
  <c r="C354" i="10"/>
  <c r="B354" i="10"/>
  <c r="B355" i="10" l="1"/>
  <c r="A355" i="10"/>
  <c r="C355" i="10"/>
  <c r="S357" i="10"/>
  <c r="U356" i="10"/>
  <c r="B356" i="10" l="1"/>
  <c r="C356" i="10"/>
  <c r="A356" i="10"/>
  <c r="S358" i="10"/>
  <c r="U357" i="10"/>
  <c r="U358" i="10" l="1"/>
  <c r="S359" i="10"/>
  <c r="B357" i="10"/>
  <c r="C357" i="10"/>
  <c r="A357" i="10"/>
  <c r="S360" i="10" l="1"/>
  <c r="U359" i="10"/>
  <c r="C358" i="10"/>
  <c r="B358" i="10"/>
  <c r="A358" i="10"/>
  <c r="B359" i="10" l="1"/>
  <c r="A359" i="10"/>
  <c r="C359" i="10"/>
  <c r="S361" i="10"/>
  <c r="U361" i="10" s="1"/>
  <c r="U360" i="10"/>
  <c r="B360" i="10" l="1"/>
  <c r="C360" i="10"/>
  <c r="A360" i="10"/>
  <c r="B361" i="10"/>
  <c r="C361" i="10"/>
  <c r="A361" i="10"/>
  <c r="P112" i="10" l="1"/>
  <c r="P362" i="10" s="1"/>
  <c r="C365" i="10" s="1"/>
  <c r="C362" i="10"/>
  <c r="C364" i="10" s="1"/>
  <c r="C367" i="10" l="1"/>
</calcChain>
</file>

<file path=xl/comments1.xml><?xml version="1.0" encoding="utf-8"?>
<comments xmlns="http://schemas.openxmlformats.org/spreadsheetml/2006/main">
  <authors>
    <author>Lawrence A. Wendt</author>
  </authors>
  <commentList>
    <comment ref="C7" authorId="0">
      <text>
        <r>
          <rPr>
            <b/>
            <sz val="8"/>
            <color indexed="81"/>
            <rFont val="Tahoma"/>
            <family val="2"/>
          </rPr>
          <t xml:space="preserve">This value is taken from Master Builder proposal (6-9) screen)
</t>
        </r>
      </text>
    </comment>
    <comment ref="E7" authorId="0">
      <text>
        <r>
          <rPr>
            <sz val="8"/>
            <color indexed="81"/>
            <rFont val="Tahoma"/>
            <family val="2"/>
          </rPr>
          <t xml:space="preserve">This value is taken from the Master Builder budget screen (6-2) for cost types 1 to 5
.  
</t>
        </r>
      </text>
    </comment>
    <comment ref="C8" authorId="0">
      <text>
        <r>
          <rPr>
            <b/>
            <sz val="8"/>
            <color indexed="81"/>
            <rFont val="Tahoma"/>
            <charset val="1"/>
          </rPr>
          <t>From MB Proposal screen 6-9.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8" authorId="0">
      <text>
        <r>
          <rPr>
            <b/>
            <sz val="8"/>
            <color indexed="81"/>
            <rFont val="Tahoma"/>
            <charset val="1"/>
          </rPr>
          <t>From MB Budget (6-2) Screen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charset val="1"/>
          </rPr>
          <t xml:space="preserve">Approved change orders - sub/budget tab (6-4-1)
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I8" authorId="0">
      <text>
        <r>
          <rPr>
            <b/>
            <sz val="8"/>
            <color indexed="81"/>
            <rFont val="Tahoma"/>
            <charset val="1"/>
          </rPr>
          <t>Actual job costs from 6-3 screen.</t>
        </r>
      </text>
    </comment>
    <comment ref="B112" authorId="0">
      <text>
        <r>
          <rPr>
            <b/>
            <sz val="8"/>
            <color indexed="81"/>
            <rFont val="Tahoma"/>
            <family val="2"/>
          </rPr>
          <t>Lawrence A. Wendt:</t>
        </r>
        <r>
          <rPr>
            <sz val="8"/>
            <color indexed="81"/>
            <rFont val="Tahoma"/>
            <family val="2"/>
          </rPr>
          <t xml:space="preserve">
These need to be individual change orders.  Prime change amounts.  There can be up to 150 change order maximum.</t>
        </r>
      </text>
    </comment>
    <comment ref="C112" authorId="0">
      <text>
        <r>
          <rPr>
            <b/>
            <sz val="8"/>
            <color indexed="81"/>
            <rFont val="Tahoma"/>
            <family val="2"/>
          </rPr>
          <t>Lawrence A. Wendt:</t>
        </r>
        <r>
          <rPr>
            <sz val="8"/>
            <color indexed="81"/>
            <rFont val="Tahoma"/>
            <family val="2"/>
          </rPr>
          <t xml:space="preserve">
The change orders can be identified  because the values will be put into the change order column of the schedule of values.  Take the description from the row description.
</t>
        </r>
      </text>
    </comment>
    <comment ref="E112" authorId="0">
      <text>
        <r>
          <rPr>
            <b/>
            <sz val="8"/>
            <color indexed="81"/>
            <rFont val="Tahoma"/>
            <family val="2"/>
          </rPr>
          <t>Lawrence A. Wendt:</t>
        </r>
        <r>
          <rPr>
            <sz val="8"/>
            <color indexed="81"/>
            <rFont val="Tahoma"/>
            <family val="2"/>
          </rPr>
          <t xml:space="preserve">
Costs could be posted to the change order cost code</t>
        </r>
      </text>
    </comment>
  </commentList>
</comments>
</file>

<file path=xl/sharedStrings.xml><?xml version="1.0" encoding="utf-8"?>
<sst xmlns="http://schemas.openxmlformats.org/spreadsheetml/2006/main" count="512" uniqueCount="256">
  <si>
    <t>Cost Code</t>
  </si>
  <si>
    <t>Cost Code Name</t>
  </si>
  <si>
    <t>Budget</t>
  </si>
  <si>
    <t>Holds</t>
  </si>
  <si>
    <t>Budget Changes</t>
  </si>
  <si>
    <t>Proposal</t>
  </si>
  <si>
    <t>Prime Changes</t>
  </si>
  <si>
    <t>Costs to Date</t>
  </si>
  <si>
    <t>UNUSED</t>
  </si>
  <si>
    <t>Accounting Period</t>
  </si>
  <si>
    <t>Job Number</t>
  </si>
  <si>
    <t>Job Name</t>
  </si>
  <si>
    <t>Job Address</t>
  </si>
  <si>
    <t>Project Manager</t>
  </si>
  <si>
    <t>Bid Date</t>
  </si>
  <si>
    <t>Change Order Number</t>
  </si>
  <si>
    <t>Change Date</t>
  </si>
  <si>
    <t>Description</t>
  </si>
  <si>
    <t>Approved Change $</t>
  </si>
  <si>
    <t>Change Budget $</t>
  </si>
  <si>
    <t>Accounting Periods</t>
  </si>
  <si>
    <t>Date</t>
  </si>
  <si>
    <t>Change Costs</t>
  </si>
  <si>
    <t>*</t>
  </si>
  <si>
    <t>HIDE</t>
  </si>
  <si>
    <t>Row</t>
  </si>
  <si>
    <t>Prime Contract Display</t>
  </si>
  <si>
    <t>CO Display</t>
  </si>
  <si>
    <t>CO #</t>
  </si>
  <si>
    <t>-</t>
  </si>
  <si>
    <t>TOTALS</t>
  </si>
  <si>
    <t>ORIGINAL CONTRACT INFORMATION</t>
  </si>
  <si>
    <t>Original Contract Amount</t>
  </si>
  <si>
    <t>Original Budget</t>
  </si>
  <si>
    <t>This page is used to set up the spreadsheet for processing.</t>
  </si>
  <si>
    <t>Only cells in this color should have user entered data.  All other data is either populated automatically or calculated.</t>
  </si>
  <si>
    <t>Current Year &gt; &gt;</t>
  </si>
  <si>
    <t>Cost Code used for Change Orders &gt;&gt;</t>
  </si>
  <si>
    <t>Change Description</t>
  </si>
  <si>
    <t>Change Amount</t>
  </si>
  <si>
    <t>Change
Budget</t>
  </si>
  <si>
    <t xml:space="preserve">Include Prime Changes in Owner Budget &gt; </t>
  </si>
  <si>
    <t>(1=Yes, 0 = No)</t>
  </si>
  <si>
    <t>Prime Change (non-CO)</t>
  </si>
  <si>
    <t>Owner</t>
  </si>
  <si>
    <t>Price</t>
  </si>
  <si>
    <t>Cost</t>
  </si>
  <si>
    <t>Code</t>
  </si>
  <si>
    <t>Change Orders</t>
  </si>
  <si>
    <t>Basic Cost to Complete Analysis</t>
  </si>
  <si>
    <t>Total</t>
  </si>
  <si>
    <t>Actual Job</t>
  </si>
  <si>
    <t>Cost to Date</t>
  </si>
  <si>
    <t xml:space="preserve">Remaining </t>
  </si>
  <si>
    <t>Estimated Cost</t>
  </si>
  <si>
    <t>To Complete</t>
  </si>
  <si>
    <t>Estimated Total</t>
  </si>
  <si>
    <t>Cost to Complete</t>
  </si>
  <si>
    <t>Estimated Budget</t>
  </si>
  <si>
    <t>(deficit)/surplus</t>
  </si>
  <si>
    <t>Estimated</t>
  </si>
  <si>
    <t>Gross Profit</t>
  </si>
  <si>
    <t>Revised Contract Amount</t>
  </si>
  <si>
    <t>Gross Profit Margin to date</t>
  </si>
  <si>
    <t>Original Gross Profit</t>
  </si>
  <si>
    <t>Original Gross Profit Margin %</t>
  </si>
  <si>
    <t>Phase Number</t>
  </si>
  <si>
    <t>Phase Name</t>
  </si>
  <si>
    <t>Syscon Cost to Complete Tool - Set Up Page</t>
  </si>
  <si>
    <t>Syscon, Inc.  www.syscon-inc.com  800-545-2012</t>
  </si>
  <si>
    <t>GRv.03g</t>
  </si>
  <si>
    <t>format</t>
  </si>
  <si>
    <t>standard</t>
  </si>
  <si>
    <t>Format</t>
  </si>
  <si>
    <t>1000</t>
  </si>
  <si>
    <t>GENERAL REQUIREMENTS</t>
  </si>
  <si>
    <t>69942</t>
  </si>
  <si>
    <t>0</t>
  </si>
  <si>
    <t>82252</t>
  </si>
  <si>
    <t>17224.91</t>
  </si>
  <si>
    <t>6</t>
  </si>
  <si>
    <t>186</t>
  </si>
  <si>
    <t>Williams Post Office</t>
  </si>
  <si>
    <t>19420 Williams Rd., Monte Rio, CA</t>
  </si>
  <si>
    <t>David Miller</t>
  </si>
  <si>
    <t>1</t>
  </si>
  <si>
    <t>4/20/2011</t>
  </si>
  <si>
    <t>Stucco on Saturdays</t>
  </si>
  <si>
    <t>790</t>
  </si>
  <si>
    <t>1020</t>
  </si>
  <si>
    <t>Contingency</t>
  </si>
  <si>
    <t>3500</t>
  </si>
  <si>
    <t>4116</t>
  </si>
  <si>
    <t>101</t>
  </si>
  <si>
    <t>6/8/2011</t>
  </si>
  <si>
    <t>Punch: Tile Repair</t>
  </si>
  <si>
    <t>1310</t>
  </si>
  <si>
    <t>Permits</t>
  </si>
  <si>
    <t>10311</t>
  </si>
  <si>
    <t>1510</t>
  </si>
  <si>
    <t>Temp. Utilities</t>
  </si>
  <si>
    <t>796</t>
  </si>
  <si>
    <t>936</t>
  </si>
  <si>
    <t>154.27</t>
  </si>
  <si>
    <t>1520</t>
  </si>
  <si>
    <t>Field Office &amp; Sheds</t>
  </si>
  <si>
    <t>215</t>
  </si>
  <si>
    <t>1540</t>
  </si>
  <si>
    <t>Mobilize &amp; Demobilize</t>
  </si>
  <si>
    <t>1446</t>
  </si>
  <si>
    <t>1708</t>
  </si>
  <si>
    <t>2000</t>
  </si>
  <si>
    <t>SITE WORK</t>
  </si>
  <si>
    <t>56985</t>
  </si>
  <si>
    <t>67015</t>
  </si>
  <si>
    <t>35235</t>
  </si>
  <si>
    <t>2300</t>
  </si>
  <si>
    <t>Excavation/Export/Fill</t>
  </si>
  <si>
    <t>8151</t>
  </si>
  <si>
    <t>9710</t>
  </si>
  <si>
    <t>3000</t>
  </si>
  <si>
    <t>CONCRETE</t>
  </si>
  <si>
    <t>3381</t>
  </si>
  <si>
    <t>3977</t>
  </si>
  <si>
    <t>3100</t>
  </si>
  <si>
    <t>Foundation Formwork</t>
  </si>
  <si>
    <t>7695</t>
  </si>
  <si>
    <t>9400</t>
  </si>
  <si>
    <t>2790.59</t>
  </si>
  <si>
    <t>3200</t>
  </si>
  <si>
    <t>Foundation Reinforcement</t>
  </si>
  <si>
    <t>417</t>
  </si>
  <si>
    <t>528</t>
  </si>
  <si>
    <t>3300</t>
  </si>
  <si>
    <t>Foundation Cast-in-Place</t>
  </si>
  <si>
    <t>5066</t>
  </si>
  <si>
    <t>6385</t>
  </si>
  <si>
    <t>3340</t>
  </si>
  <si>
    <t>Slab Prep</t>
  </si>
  <si>
    <t>14495</t>
  </si>
  <si>
    <t>11312</t>
  </si>
  <si>
    <t>3350</t>
  </si>
  <si>
    <t>Slab Cast-in-Place</t>
  </si>
  <si>
    <t>7644</t>
  </si>
  <si>
    <t>15411</t>
  </si>
  <si>
    <t>4000</t>
  </si>
  <si>
    <t>MASONRY</t>
  </si>
  <si>
    <t>37125</t>
  </si>
  <si>
    <t>43659</t>
  </si>
  <si>
    <t>5100</t>
  </si>
  <si>
    <t>Structural Steel</t>
  </si>
  <si>
    <t>10180</t>
  </si>
  <si>
    <t>11972</t>
  </si>
  <si>
    <t>6100</t>
  </si>
  <si>
    <t>Rough Framing</t>
  </si>
  <si>
    <t>39339</t>
  </si>
  <si>
    <t>46630</t>
  </si>
  <si>
    <t>2274.59</t>
  </si>
  <si>
    <t>6120</t>
  </si>
  <si>
    <t>Wall Framing</t>
  </si>
  <si>
    <t>2095</t>
  </si>
  <si>
    <t>2522</t>
  </si>
  <si>
    <t>6130</t>
  </si>
  <si>
    <t>Roof Framing</t>
  </si>
  <si>
    <t>11088</t>
  </si>
  <si>
    <t>13040</t>
  </si>
  <si>
    <t>3549.92</t>
  </si>
  <si>
    <t>6190</t>
  </si>
  <si>
    <t>Truss (Prefab)</t>
  </si>
  <si>
    <t>15070</t>
  </si>
  <si>
    <t>19052</t>
  </si>
  <si>
    <t>6200</t>
  </si>
  <si>
    <t>Finish Carpentry</t>
  </si>
  <si>
    <t>8778</t>
  </si>
  <si>
    <t>10733</t>
  </si>
  <si>
    <t>5514.42</t>
  </si>
  <si>
    <t>6400</t>
  </si>
  <si>
    <t>Custom Casework</t>
  </si>
  <si>
    <t>732.54</t>
  </si>
  <si>
    <t>6700</t>
  </si>
  <si>
    <t>Rough Hardware</t>
  </si>
  <si>
    <t>655</t>
  </si>
  <si>
    <t>829</t>
  </si>
  <si>
    <t>0.95</t>
  </si>
  <si>
    <t>7000</t>
  </si>
  <si>
    <t>THERMAL &amp; MOISTURE</t>
  </si>
  <si>
    <t>24</t>
  </si>
  <si>
    <t>30</t>
  </si>
  <si>
    <t>25.2</t>
  </si>
  <si>
    <t>7200</t>
  </si>
  <si>
    <t>Insulation</t>
  </si>
  <si>
    <t>4180</t>
  </si>
  <si>
    <t>4916</t>
  </si>
  <si>
    <t>7300</t>
  </si>
  <si>
    <t>Roofing</t>
  </si>
  <si>
    <t>9850</t>
  </si>
  <si>
    <t>11584</t>
  </si>
  <si>
    <t>8100</t>
  </si>
  <si>
    <t>Metal Doors &amp; Frames</t>
  </si>
  <si>
    <t>7507</t>
  </si>
  <si>
    <t>9246</t>
  </si>
  <si>
    <t>8500</t>
  </si>
  <si>
    <t>Windows</t>
  </si>
  <si>
    <t>19821</t>
  </si>
  <si>
    <t>23310</t>
  </si>
  <si>
    <t>9000</t>
  </si>
  <si>
    <t>FINISHES</t>
  </si>
  <si>
    <t>9309</t>
  </si>
  <si>
    <t>9100</t>
  </si>
  <si>
    <t>Stucco</t>
  </si>
  <si>
    <t>13761</t>
  </si>
  <si>
    <t>16183</t>
  </si>
  <si>
    <t>14551</t>
  </si>
  <si>
    <t>9250</t>
  </si>
  <si>
    <t>Gypsum Board</t>
  </si>
  <si>
    <t>10948</t>
  </si>
  <si>
    <t>9300</t>
  </si>
  <si>
    <t>Ceramic Tile</t>
  </si>
  <si>
    <t>1745</t>
  </si>
  <si>
    <t>50</t>
  </si>
  <si>
    <t>2052</t>
  </si>
  <si>
    <t>1795</t>
  </si>
  <si>
    <t>9500</t>
  </si>
  <si>
    <t>Acoustical Treatment</t>
  </si>
  <si>
    <t>2450</t>
  </si>
  <si>
    <t>2882</t>
  </si>
  <si>
    <t>9900</t>
  </si>
  <si>
    <t>Painting</t>
  </si>
  <si>
    <t>9255</t>
  </si>
  <si>
    <t>10884</t>
  </si>
  <si>
    <t>10300</t>
  </si>
  <si>
    <t>Fireplaces &amp; Stoves</t>
  </si>
  <si>
    <t>10800</t>
  </si>
  <si>
    <t>Bath Accessories</t>
  </si>
  <si>
    <t>733</t>
  </si>
  <si>
    <t>907</t>
  </si>
  <si>
    <t>786.68</t>
  </si>
  <si>
    <t>15100</t>
  </si>
  <si>
    <t>Plumbing</t>
  </si>
  <si>
    <t>5063</t>
  </si>
  <si>
    <t>-50</t>
  </si>
  <si>
    <t>5955</t>
  </si>
  <si>
    <t>2909</t>
  </si>
  <si>
    <t>15700</t>
  </si>
  <si>
    <t>HVAC</t>
  </si>
  <si>
    <t>19369</t>
  </si>
  <si>
    <t>22778</t>
  </si>
  <si>
    <t>16444</t>
  </si>
  <si>
    <t>16000</t>
  </si>
  <si>
    <t>ELECTRICAL</t>
  </si>
  <si>
    <t>37928</t>
  </si>
  <si>
    <t>16100</t>
  </si>
  <si>
    <t>Electrical Wiring</t>
  </si>
  <si>
    <t>50416</t>
  </si>
  <si>
    <t>60326</t>
  </si>
  <si>
    <t>12618.35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</si>
</sst>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"/>
  </numFmts>
  <fonts count="20">
    <font>
      <sz val="12"/>
      <name val="Arial MT"/>
    </font>
    <font>
      <sz val="10"/>
      <name val="Arial"/>
      <family val="2"/>
    </font>
    <font>
      <b/>
      <sz val="12"/>
      <name val="Arial MT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Calibri"/>
      <family val="2"/>
    </font>
    <font>
      <sz val="12"/>
      <name val="Calibri"/>
      <family val="2"/>
    </font>
    <font>
      <b/>
      <sz val="10"/>
      <color indexed="8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b/>
      <sz val="12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sz val="16"/>
      <name val="Calibri"/>
      <family val="2"/>
    </font>
    <font>
      <b/>
      <sz val="16"/>
      <name val="Calibri"/>
      <family val="2"/>
    </font>
    <font>
      <b/>
      <i/>
      <sz val="14"/>
      <name val="Calibri"/>
      <family val="2"/>
    </font>
    <font>
      <b/>
      <sz val="12"/>
      <color indexed="8"/>
      <name val="Calibri"/>
      <family val="2"/>
    </font>
    <font>
      <b/>
      <sz val="8"/>
      <name val="Calibri"/>
      <family val="2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55"/>
      </left>
      <right style="thin">
        <color indexed="55"/>
      </right>
      <top style="thin">
        <color indexed="8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 style="medium">
        <color indexed="55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23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55"/>
      </left>
      <right/>
      <top style="thin">
        <color indexed="8"/>
      </top>
      <bottom style="thin">
        <color indexed="55"/>
      </bottom>
      <diagonal/>
    </border>
    <border>
      <left/>
      <right/>
      <top/>
      <bottom style="medium">
        <color indexed="8"/>
      </bottom>
      <diagonal/>
    </border>
    <border>
      <left/>
      <right/>
      <top style="thin">
        <color indexed="8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8"/>
      </top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 style="thin">
        <color indexed="8"/>
      </left>
      <right/>
      <top style="double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medium">
        <color indexed="8"/>
      </top>
      <bottom style="thin">
        <color indexed="55"/>
      </bottom>
      <diagonal/>
    </border>
    <border>
      <left/>
      <right style="thin">
        <color indexed="55"/>
      </right>
      <top style="thin">
        <color indexed="23"/>
      </top>
      <bottom style="thin">
        <color indexed="55"/>
      </bottom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 style="medium">
        <color theme="1"/>
      </top>
      <bottom style="medium">
        <color theme="1"/>
      </bottom>
      <diagonal/>
    </border>
    <border>
      <left style="thin">
        <color indexed="55"/>
      </left>
      <right/>
      <top style="medium">
        <color theme="1"/>
      </top>
      <bottom style="medium">
        <color theme="1"/>
      </bottom>
      <diagonal/>
    </border>
    <border>
      <left/>
      <right style="thin">
        <color indexed="55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6">
    <xf numFmtId="0" fontId="0" fillId="0" borderId="0" xfId="0"/>
    <xf numFmtId="0" fontId="0" fillId="0" borderId="1" xfId="0" applyBorder="1"/>
    <xf numFmtId="0" fontId="0" fillId="2" borderId="0" xfId="0" applyFill="1"/>
    <xf numFmtId="0" fontId="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14" fontId="0" fillId="0" borderId="0" xfId="0" applyNumberFormat="1"/>
    <xf numFmtId="0" fontId="2" fillId="3" borderId="0" xfId="0" applyFont="1" applyFill="1" applyAlignment="1" applyProtection="1">
      <alignment horizontal="center"/>
      <protection locked="0"/>
    </xf>
    <xf numFmtId="0" fontId="6" fillId="0" borderId="0" xfId="0" applyFont="1" applyFill="1"/>
    <xf numFmtId="0" fontId="7" fillId="0" borderId="0" xfId="0" applyFont="1" applyFill="1"/>
    <xf numFmtId="39" fontId="6" fillId="0" borderId="0" xfId="0" applyNumberFormat="1" applyFont="1" applyProtection="1"/>
    <xf numFmtId="0" fontId="6" fillId="0" borderId="0" xfId="0" applyFont="1"/>
    <xf numFmtId="0" fontId="8" fillId="0" borderId="0" xfId="0" applyFont="1"/>
    <xf numFmtId="0" fontId="8" fillId="0" borderId="2" xfId="0" applyFont="1" applyBorder="1"/>
    <xf numFmtId="0" fontId="10" fillId="0" borderId="3" xfId="0" applyFont="1" applyBorder="1"/>
    <xf numFmtId="39" fontId="11" fillId="0" borderId="0" xfId="0" applyNumberFormat="1" applyFont="1" applyProtection="1"/>
    <xf numFmtId="0" fontId="10" fillId="0" borderId="0" xfId="0" applyFont="1"/>
    <xf numFmtId="0" fontId="5" fillId="0" borderId="0" xfId="0" applyFont="1"/>
    <xf numFmtId="39" fontId="5" fillId="0" borderId="0" xfId="0" applyNumberFormat="1" applyFont="1" applyProtection="1"/>
    <xf numFmtId="39" fontId="12" fillId="0" borderId="0" xfId="0" applyNumberFormat="1" applyFont="1" applyProtection="1"/>
    <xf numFmtId="0" fontId="12" fillId="0" borderId="0" xfId="0" applyFont="1"/>
    <xf numFmtId="0" fontId="13" fillId="0" borderId="0" xfId="0" applyFont="1" applyFill="1"/>
    <xf numFmtId="0" fontId="6" fillId="0" borderId="1" xfId="0" applyFont="1" applyFill="1" applyBorder="1"/>
    <xf numFmtId="39" fontId="6" fillId="0" borderId="0" xfId="0" applyNumberFormat="1" applyFont="1" applyFill="1" applyProtection="1"/>
    <xf numFmtId="39" fontId="8" fillId="0" borderId="0" xfId="0" applyNumberFormat="1" applyFont="1" applyFill="1" applyProtection="1"/>
    <xf numFmtId="0" fontId="8" fillId="0" borderId="0" xfId="0" applyFont="1" applyFill="1"/>
    <xf numFmtId="39" fontId="9" fillId="0" borderId="0" xfId="0" applyNumberFormat="1" applyFont="1" applyFill="1" applyBorder="1" applyProtection="1"/>
    <xf numFmtId="0" fontId="9" fillId="0" borderId="0" xfId="0" applyFont="1" applyFill="1" applyBorder="1"/>
    <xf numFmtId="164" fontId="6" fillId="0" borderId="0" xfId="0" applyNumberFormat="1" applyFont="1" applyFill="1" applyProtection="1"/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wrapText="1"/>
    </xf>
    <xf numFmtId="0" fontId="5" fillId="0" borderId="0" xfId="0" applyFont="1" applyBorder="1"/>
    <xf numFmtId="0" fontId="5" fillId="0" borderId="0" xfId="0" applyFont="1" applyBorder="1" applyAlignment="1">
      <alignment wrapText="1"/>
    </xf>
    <xf numFmtId="0" fontId="10" fillId="0" borderId="4" xfId="0" applyFont="1" applyFill="1" applyBorder="1" applyAlignment="1">
      <alignment horizontal="center"/>
    </xf>
    <xf numFmtId="0" fontId="7" fillId="0" borderId="4" xfId="0" applyFont="1" applyFill="1" applyBorder="1"/>
    <xf numFmtId="0" fontId="10" fillId="0" borderId="0" xfId="0" applyFont="1" applyBorder="1"/>
    <xf numFmtId="0" fontId="2" fillId="0" borderId="0" xfId="0" applyFont="1" applyAlignment="1">
      <alignment horizontal="right"/>
    </xf>
    <xf numFmtId="43" fontId="6" fillId="0" borderId="0" xfId="0" applyNumberFormat="1" applyFont="1" applyProtection="1"/>
    <xf numFmtId="43" fontId="6" fillId="0" borderId="0" xfId="0" applyNumberFormat="1" applyFont="1"/>
    <xf numFmtId="43" fontId="6" fillId="4" borderId="5" xfId="0" applyNumberFormat="1" applyFont="1" applyFill="1" applyBorder="1" applyProtection="1">
      <protection locked="0"/>
    </xf>
    <xf numFmtId="43" fontId="6" fillId="4" borderId="6" xfId="0" applyNumberFormat="1" applyFont="1" applyFill="1" applyBorder="1" applyProtection="1">
      <protection locked="0"/>
    </xf>
    <xf numFmtId="43" fontId="6" fillId="4" borderId="7" xfId="0" applyNumberFormat="1" applyFont="1" applyFill="1" applyBorder="1" applyProtection="1">
      <protection locked="0"/>
    </xf>
    <xf numFmtId="0" fontId="14" fillId="0" borderId="0" xfId="0" applyFont="1" applyBorder="1" applyAlignment="1">
      <alignment horizontal="center"/>
    </xf>
    <xf numFmtId="0" fontId="5" fillId="0" borderId="8" xfId="0" applyFont="1" applyBorder="1"/>
    <xf numFmtId="39" fontId="10" fillId="0" borderId="0" xfId="0" applyNumberFormat="1" applyFont="1" applyProtection="1"/>
    <xf numFmtId="10" fontId="10" fillId="0" borderId="0" xfId="1" applyNumberFormat="1" applyFont="1" applyProtection="1"/>
    <xf numFmtId="0" fontId="8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8" fillId="0" borderId="0" xfId="0" applyFont="1" applyFill="1" applyAlignment="1">
      <alignment horizontal="center"/>
    </xf>
    <xf numFmtId="14" fontId="8" fillId="0" borderId="0" xfId="0" applyNumberFormat="1" applyFont="1" applyAlignment="1">
      <alignment horizontal="right"/>
    </xf>
    <xf numFmtId="0" fontId="9" fillId="0" borderId="0" xfId="0" applyFont="1"/>
    <xf numFmtId="0" fontId="8" fillId="0" borderId="0" xfId="0" quotePrefix="1" applyFont="1"/>
    <xf numFmtId="0" fontId="10" fillId="0" borderId="9" xfId="0" applyFont="1" applyFill="1" applyBorder="1" applyAlignment="1">
      <alignment horizontal="center"/>
    </xf>
    <xf numFmtId="0" fontId="16" fillId="0" borderId="9" xfId="0" applyFont="1" applyFill="1" applyBorder="1" applyAlignment="1">
      <alignment horizontal="center"/>
    </xf>
    <xf numFmtId="0" fontId="16" fillId="0" borderId="10" xfId="0" applyFont="1" applyFill="1" applyBorder="1" applyAlignment="1">
      <alignment horizontal="center"/>
    </xf>
    <xf numFmtId="0" fontId="16" fillId="0" borderId="11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2" fillId="0" borderId="1" xfId="0" applyFont="1" applyBorder="1"/>
    <xf numFmtId="43" fontId="6" fillId="0" borderId="12" xfId="0" applyNumberFormat="1" applyFont="1" applyBorder="1" applyProtection="1"/>
    <xf numFmtId="43" fontId="6" fillId="0" borderId="13" xfId="0" applyNumberFormat="1" applyFont="1" applyBorder="1" applyProtection="1"/>
    <xf numFmtId="0" fontId="16" fillId="0" borderId="14" xfId="0" applyFont="1" applyFill="1" applyBorder="1" applyAlignment="1">
      <alignment horizontal="center" wrapText="1"/>
    </xf>
    <xf numFmtId="0" fontId="16" fillId="0" borderId="15" xfId="0" applyFont="1" applyFill="1" applyBorder="1" applyAlignment="1">
      <alignment horizontal="center"/>
    </xf>
    <xf numFmtId="43" fontId="6" fillId="0" borderId="16" xfId="0" applyNumberFormat="1" applyFont="1" applyBorder="1" applyProtection="1"/>
    <xf numFmtId="43" fontId="6" fillId="0" borderId="17" xfId="0" applyNumberFormat="1" applyFont="1" applyBorder="1" applyProtection="1"/>
    <xf numFmtId="0" fontId="16" fillId="0" borderId="14" xfId="0" applyFont="1" applyFill="1" applyBorder="1" applyAlignment="1">
      <alignment horizontal="center"/>
    </xf>
    <xf numFmtId="43" fontId="6" fillId="0" borderId="18" xfId="0" applyNumberFormat="1" applyFont="1" applyBorder="1" applyProtection="1"/>
    <xf numFmtId="43" fontId="8" fillId="0" borderId="19" xfId="0" applyNumberFormat="1" applyFont="1" applyBorder="1" applyProtection="1"/>
    <xf numFmtId="43" fontId="6" fillId="0" borderId="20" xfId="0" applyNumberFormat="1" applyFont="1" applyBorder="1" applyProtection="1"/>
    <xf numFmtId="0" fontId="16" fillId="0" borderId="3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3" fontId="6" fillId="0" borderId="22" xfId="0" applyNumberFormat="1" applyFont="1" applyBorder="1" applyProtection="1"/>
    <xf numFmtId="43" fontId="6" fillId="0" borderId="23" xfId="0" applyNumberFormat="1" applyFont="1" applyBorder="1" applyProtection="1"/>
    <xf numFmtId="43" fontId="6" fillId="0" borderId="24" xfId="0" applyNumberFormat="1" applyFont="1" applyBorder="1" applyProtection="1"/>
    <xf numFmtId="43" fontId="11" fillId="0" borderId="25" xfId="0" applyNumberFormat="1" applyFont="1" applyBorder="1" applyProtection="1"/>
    <xf numFmtId="43" fontId="11" fillId="0" borderId="16" xfId="0" applyNumberFormat="1" applyFont="1" applyBorder="1" applyProtection="1"/>
    <xf numFmtId="43" fontId="11" fillId="0" borderId="18" xfId="0" applyNumberFormat="1" applyFont="1" applyBorder="1" applyProtection="1"/>
    <xf numFmtId="43" fontId="6" fillId="0" borderId="26" xfId="0" applyNumberFormat="1" applyFont="1" applyBorder="1" applyProtection="1"/>
    <xf numFmtId="43" fontId="6" fillId="0" borderId="27" xfId="0" applyNumberFormat="1" applyFont="1" applyBorder="1" applyProtection="1"/>
    <xf numFmtId="43" fontId="6" fillId="4" borderId="28" xfId="0" applyNumberFormat="1" applyFont="1" applyFill="1" applyBorder="1" applyProtection="1">
      <protection locked="0"/>
    </xf>
    <xf numFmtId="0" fontId="13" fillId="0" borderId="0" xfId="0" applyFont="1" applyFill="1" applyAlignment="1">
      <alignment horizontal="center"/>
    </xf>
    <xf numFmtId="43" fontId="6" fillId="5" borderId="16" xfId="0" applyNumberFormat="1" applyFont="1" applyFill="1" applyBorder="1" applyProtection="1"/>
    <xf numFmtId="1" fontId="2" fillId="3" borderId="0" xfId="0" applyNumberFormat="1" applyFont="1" applyFill="1" applyAlignment="1" applyProtection="1">
      <alignment horizontal="center"/>
      <protection locked="0"/>
    </xf>
    <xf numFmtId="43" fontId="6" fillId="5" borderId="12" xfId="0" applyNumberFormat="1" applyFont="1" applyFill="1" applyBorder="1" applyProtection="1"/>
    <xf numFmtId="43" fontId="6" fillId="5" borderId="6" xfId="0" applyNumberFormat="1" applyFont="1" applyFill="1" applyBorder="1" applyProtection="1"/>
    <xf numFmtId="0" fontId="2" fillId="0" borderId="0" xfId="0" applyFont="1" applyAlignment="1" applyProtection="1">
      <alignment horizontal="center" wrapText="1"/>
      <protection locked="0"/>
    </xf>
    <xf numFmtId="0" fontId="0" fillId="6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49" fontId="0" fillId="6" borderId="0" xfId="0" quotePrefix="1" applyNumberFormat="1" applyFill="1" applyProtection="1">
      <protection locked="0"/>
    </xf>
    <xf numFmtId="0" fontId="0" fillId="6" borderId="0" xfId="0" quotePrefix="1" applyFill="1" applyProtection="1">
      <protection locked="0"/>
    </xf>
    <xf numFmtId="2" fontId="0" fillId="0" borderId="0" xfId="0" applyNumberFormat="1"/>
    <xf numFmtId="2" fontId="0" fillId="2" borderId="0" xfId="0" applyNumberFormat="1" applyFill="1"/>
    <xf numFmtId="39" fontId="6" fillId="5" borderId="26" xfId="0" applyNumberFormat="1" applyFont="1" applyFill="1" applyBorder="1" applyProtection="1"/>
    <xf numFmtId="39" fontId="6" fillId="5" borderId="12" xfId="0" applyNumberFormat="1" applyFont="1" applyFill="1" applyBorder="1" applyProtection="1"/>
    <xf numFmtId="39" fontId="10" fillId="0" borderId="0" xfId="0" applyNumberFormat="1" applyFont="1" applyBorder="1" applyProtection="1"/>
    <xf numFmtId="10" fontId="10" fillId="0" borderId="0" xfId="0" applyNumberFormat="1" applyFont="1" applyBorder="1" applyProtection="1"/>
    <xf numFmtId="0" fontId="8" fillId="0" borderId="42" xfId="0" applyFont="1" applyBorder="1" applyAlignment="1">
      <alignment horizontal="center"/>
    </xf>
    <xf numFmtId="0" fontId="10" fillId="0" borderId="42" xfId="0" applyFont="1" applyBorder="1"/>
    <xf numFmtId="39" fontId="8" fillId="0" borderId="42" xfId="0" applyNumberFormat="1" applyFont="1" applyBorder="1" applyProtection="1"/>
    <xf numFmtId="43" fontId="8" fillId="0" borderId="43" xfId="0" applyNumberFormat="1" applyFont="1" applyBorder="1" applyProtection="1"/>
    <xf numFmtId="39" fontId="8" fillId="0" borderId="44" xfId="0" applyNumberFormat="1" applyFont="1" applyBorder="1" applyProtection="1"/>
    <xf numFmtId="39" fontId="8" fillId="0" borderId="43" xfId="0" applyNumberFormat="1" applyFont="1" applyBorder="1" applyProtection="1"/>
    <xf numFmtId="43" fontId="8" fillId="0" borderId="44" xfId="0" applyNumberFormat="1" applyFont="1" applyBorder="1" applyProtection="1"/>
    <xf numFmtId="43" fontId="8" fillId="0" borderId="42" xfId="0" applyNumberFormat="1" applyFont="1" applyBorder="1" applyProtection="1"/>
    <xf numFmtId="43" fontId="8" fillId="0" borderId="45" xfId="0" applyNumberFormat="1" applyFont="1" applyBorder="1" applyProtection="1"/>
    <xf numFmtId="43" fontId="6" fillId="0" borderId="29" xfId="0" applyNumberFormat="1" applyFont="1" applyBorder="1" applyProtection="1"/>
    <xf numFmtId="43" fontId="10" fillId="0" borderId="43" xfId="0" applyNumberFormat="1" applyFont="1" applyBorder="1" applyProtection="1"/>
    <xf numFmtId="39" fontId="8" fillId="0" borderId="45" xfId="0" applyNumberFormat="1" applyFont="1" applyBorder="1" applyProtection="1"/>
    <xf numFmtId="0" fontId="17" fillId="0" borderId="0" xfId="0" applyFont="1" applyBorder="1" applyAlignment="1">
      <alignment horizontal="center"/>
    </xf>
    <xf numFmtId="0" fontId="5" fillId="7" borderId="0" xfId="0" applyFont="1" applyFill="1"/>
    <xf numFmtId="0" fontId="5" fillId="7" borderId="0" xfId="0" applyFont="1" applyFill="1" applyBorder="1"/>
    <xf numFmtId="0" fontId="6" fillId="7" borderId="0" xfId="0" applyFont="1" applyFill="1"/>
    <xf numFmtId="0" fontId="14" fillId="0" borderId="1" xfId="0" applyFont="1" applyBorder="1" applyAlignment="1"/>
    <xf numFmtId="0" fontId="7" fillId="7" borderId="0" xfId="0" applyFont="1" applyFill="1" applyBorder="1" applyAlignment="1">
      <alignment horizontal="center"/>
    </xf>
    <xf numFmtId="39" fontId="6" fillId="7" borderId="0" xfId="0" applyNumberFormat="1" applyFont="1" applyFill="1" applyBorder="1" applyProtection="1"/>
    <xf numFmtId="39" fontId="8" fillId="7" borderId="45" xfId="0" applyNumberFormat="1" applyFont="1" applyFill="1" applyBorder="1" applyProtection="1"/>
    <xf numFmtId="43" fontId="8" fillId="7" borderId="19" xfId="0" applyNumberFormat="1" applyFont="1" applyFill="1" applyBorder="1" applyProtection="1"/>
    <xf numFmtId="0" fontId="8" fillId="7" borderId="0" xfId="0" applyFont="1" applyFill="1" applyBorder="1"/>
    <xf numFmtId="0" fontId="9" fillId="0" borderId="30" xfId="0" quotePrefix="1" applyFont="1" applyBorder="1"/>
    <xf numFmtId="0" fontId="6" fillId="0" borderId="31" xfId="0" applyFont="1" applyBorder="1"/>
    <xf numFmtId="0" fontId="10" fillId="0" borderId="32" xfId="0" applyFont="1" applyBorder="1"/>
    <xf numFmtId="0" fontId="10" fillId="0" borderId="33" xfId="0" applyFont="1" applyBorder="1"/>
    <xf numFmtId="0" fontId="6" fillId="0" borderId="34" xfId="0" applyFont="1" applyBorder="1"/>
    <xf numFmtId="43" fontId="10" fillId="0" borderId="35" xfId="0" applyNumberFormat="1" applyFont="1" applyBorder="1"/>
    <xf numFmtId="0" fontId="6" fillId="0" borderId="35" xfId="0" applyFont="1" applyBorder="1"/>
    <xf numFmtId="0" fontId="6" fillId="0" borderId="36" xfId="0" applyFont="1" applyBorder="1"/>
    <xf numFmtId="0" fontId="10" fillId="0" borderId="37" xfId="0" applyFont="1" applyBorder="1"/>
    <xf numFmtId="10" fontId="10" fillId="0" borderId="38" xfId="1" applyNumberFormat="1" applyFont="1" applyBorder="1"/>
    <xf numFmtId="0" fontId="8" fillId="7" borderId="32" xfId="0" applyFont="1" applyFill="1" applyBorder="1"/>
    <xf numFmtId="44" fontId="10" fillId="7" borderId="33" xfId="0" applyNumberFormat="1" applyFont="1" applyFill="1" applyBorder="1" applyProtection="1"/>
    <xf numFmtId="0" fontId="5" fillId="0" borderId="34" xfId="0" applyFont="1" applyBorder="1"/>
    <xf numFmtId="39" fontId="10" fillId="0" borderId="35" xfId="0" applyNumberFormat="1" applyFont="1" applyBorder="1"/>
    <xf numFmtId="0" fontId="5" fillId="0" borderId="36" xfId="0" applyFont="1" applyBorder="1"/>
    <xf numFmtId="0" fontId="5" fillId="7" borderId="31" xfId="0" applyFont="1" applyFill="1" applyBorder="1"/>
    <xf numFmtId="0" fontId="6" fillId="0" borderId="39" xfId="0" applyFont="1" applyBorder="1" applyAlignment="1" applyProtection="1">
      <alignment horizontal="center"/>
      <protection hidden="1"/>
    </xf>
    <xf numFmtId="0" fontId="6" fillId="0" borderId="39" xfId="0" applyFont="1" applyBorder="1" applyProtection="1">
      <protection hidden="1"/>
    </xf>
    <xf numFmtId="43" fontId="6" fillId="0" borderId="12" xfId="0" applyNumberFormat="1" applyFont="1" applyBorder="1" applyProtection="1"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6" fillId="0" borderId="6" xfId="0" applyFont="1" applyBorder="1" applyProtection="1"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6" fillId="0" borderId="7" xfId="0" applyFont="1" applyBorder="1" applyProtection="1">
      <protection hidden="1"/>
    </xf>
    <xf numFmtId="43" fontId="6" fillId="0" borderId="13" xfId="0" applyNumberFormat="1" applyFont="1" applyBorder="1" applyProtection="1">
      <protection hidden="1"/>
    </xf>
    <xf numFmtId="0" fontId="6" fillId="0" borderId="28" xfId="0" applyFont="1" applyBorder="1" applyAlignment="1" applyProtection="1">
      <alignment horizontal="center"/>
      <protection hidden="1"/>
    </xf>
    <xf numFmtId="0" fontId="6" fillId="0" borderId="28" xfId="0" applyFont="1" applyBorder="1" applyProtection="1">
      <protection hidden="1"/>
    </xf>
    <xf numFmtId="43" fontId="6" fillId="0" borderId="26" xfId="0" applyNumberFormat="1" applyFont="1" applyBorder="1" applyProtection="1">
      <protection hidden="1"/>
    </xf>
    <xf numFmtId="43" fontId="8" fillId="0" borderId="30" xfId="0" applyNumberFormat="1" applyFont="1" applyBorder="1" applyProtection="1">
      <protection hidden="1"/>
    </xf>
    <xf numFmtId="43" fontId="6" fillId="8" borderId="12" xfId="0" applyNumberFormat="1" applyFont="1" applyFill="1" applyBorder="1" applyProtection="1"/>
    <xf numFmtId="43" fontId="6" fillId="8" borderId="23" xfId="0" applyNumberFormat="1" applyFont="1" applyFill="1" applyBorder="1" applyProtection="1"/>
    <xf numFmtId="43" fontId="11" fillId="8" borderId="16" xfId="0" applyNumberFormat="1" applyFont="1" applyFill="1" applyBorder="1" applyProtection="1"/>
    <xf numFmtId="43" fontId="6" fillId="0" borderId="40" xfId="0" applyNumberFormat="1" applyFont="1" applyBorder="1" applyProtection="1">
      <protection hidden="1"/>
    </xf>
    <xf numFmtId="43" fontId="6" fillId="0" borderId="27" xfId="0" applyNumberFormat="1" applyFont="1" applyBorder="1" applyProtection="1">
      <protection hidden="1"/>
    </xf>
    <xf numFmtId="43" fontId="6" fillId="0" borderId="16" xfId="0" applyNumberFormat="1" applyFont="1" applyBorder="1" applyProtection="1">
      <protection hidden="1"/>
    </xf>
    <xf numFmtId="43" fontId="6" fillId="0" borderId="18" xfId="0" applyNumberFormat="1" applyFont="1" applyBorder="1" applyProtection="1">
      <protection hidden="1"/>
    </xf>
    <xf numFmtId="43" fontId="6" fillId="0" borderId="41" xfId="0" applyNumberFormat="1" applyFont="1" applyBorder="1" applyProtection="1">
      <protection hidden="1"/>
    </xf>
    <xf numFmtId="0" fontId="0" fillId="0" borderId="0" xfId="0" applyAlignment="1">
      <alignment wrapText="1"/>
    </xf>
    <xf numFmtId="0" fontId="0" fillId="3" borderId="0" xfId="0" applyFill="1" applyAlignment="1">
      <alignment wrapText="1"/>
    </xf>
    <xf numFmtId="0" fontId="14" fillId="0" borderId="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"/>
  <sheetViews>
    <sheetView workbookViewId="0">
      <selection activeCell="B9" sqref="B9"/>
    </sheetView>
  </sheetViews>
  <sheetFormatPr defaultRowHeight="15"/>
  <cols>
    <col min="1" max="1" width="37.5546875" customWidth="1"/>
    <col min="2" max="2" width="11" customWidth="1"/>
  </cols>
  <sheetData>
    <row r="1" spans="1:3" ht="15.75">
      <c r="A1" s="57" t="s">
        <v>68</v>
      </c>
      <c r="B1" s="1"/>
    </row>
    <row r="2" spans="1:3">
      <c r="A2" t="s">
        <v>69</v>
      </c>
    </row>
    <row r="3" spans="1:3" ht="42.75" customHeight="1">
      <c r="A3" s="153" t="s">
        <v>34</v>
      </c>
      <c r="B3" s="153"/>
    </row>
    <row r="4" spans="1:3" ht="45.75" customHeight="1">
      <c r="A4" s="154" t="s">
        <v>35</v>
      </c>
      <c r="B4" s="154"/>
    </row>
    <row r="6" spans="1:3">
      <c r="A6" s="1"/>
      <c r="B6" s="1"/>
    </row>
    <row r="7" spans="1:3" ht="15.75">
      <c r="A7" s="36" t="s">
        <v>36</v>
      </c>
      <c r="B7" s="7">
        <v>2008</v>
      </c>
    </row>
    <row r="8" spans="1:3" ht="15.75">
      <c r="A8" s="36" t="s">
        <v>37</v>
      </c>
      <c r="B8" s="81">
        <v>9999</v>
      </c>
    </row>
    <row r="10" spans="1:3" ht="15.75">
      <c r="A10" s="36" t="s">
        <v>41</v>
      </c>
      <c r="B10" s="81">
        <v>1</v>
      </c>
      <c r="C10" t="s">
        <v>42</v>
      </c>
    </row>
  </sheetData>
  <sheetProtection password="DD89" sheet="1" objects="1" scenarios="1" formatCells="0" formatColumns="0" formatRows="0"/>
  <mergeCells count="2">
    <mergeCell ref="A3:B3"/>
    <mergeCell ref="A4:B4"/>
  </mergeCells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Sheet2" filterMode="1">
    <pageSetUpPr fitToPage="1"/>
  </sheetPr>
  <dimension ref="A1:Y8271"/>
  <sheetViews>
    <sheetView showGridLines="0" tabSelected="1" defaultGridColor="0" colorId="22" zoomScaleSheetLayoutView="100" workbookViewId="0">
      <pane xSplit="1" ySplit="9" topLeftCell="B46" activePane="bottomRight" state="frozen"/>
      <selection pane="topRight" activeCell="B1" sqref="B1"/>
      <selection pane="bottomLeft" activeCell="A10" sqref="A10"/>
      <selection pane="bottomRight" activeCell="C113" sqref="C113"/>
    </sheetView>
  </sheetViews>
  <sheetFormatPr defaultColWidth="11.44140625" defaultRowHeight="15.75"/>
  <cols>
    <col min="1" max="1" width="9.21875" style="11" customWidth="1"/>
    <col min="2" max="2" width="34.109375" style="11" customWidth="1"/>
    <col min="3" max="3" width="16" style="11" customWidth="1"/>
    <col min="4" max="4" width="1.109375" style="11" customWidth="1"/>
    <col min="5" max="5" width="15.44140625" style="11" customWidth="1"/>
    <col min="6" max="6" width="15.33203125" style="11" customWidth="1"/>
    <col min="7" max="7" width="16" style="11" customWidth="1"/>
    <col min="8" max="8" width="1.109375" style="11" customWidth="1"/>
    <col min="9" max="10" width="15.5546875" style="11" customWidth="1"/>
    <col min="11" max="11" width="15.44140625" style="11" customWidth="1"/>
    <col min="12" max="12" width="15.33203125" style="11" customWidth="1"/>
    <col min="13" max="13" width="1.109375" style="11" customWidth="1"/>
    <col min="14" max="14" width="15.5546875" style="11" customWidth="1"/>
    <col min="15" max="15" width="1.109375" style="11" customWidth="1"/>
    <col min="16" max="16" width="15.77734375" style="11" customWidth="1"/>
    <col min="17" max="18" width="11.44140625" style="8" customWidth="1"/>
    <col min="19" max="21" width="11.44140625" style="8" hidden="1" customWidth="1"/>
    <col min="22" max="22" width="0" style="8" hidden="1" customWidth="1"/>
    <col min="23" max="16384" width="11.44140625" style="8"/>
  </cols>
  <sheetData>
    <row r="1" spans="1:25" s="21" customFormat="1" ht="30" customHeight="1">
      <c r="A1" s="111"/>
      <c r="B1" s="155" t="s">
        <v>49</v>
      </c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S1" s="79" t="s">
        <v>24</v>
      </c>
      <c r="T1" s="79" t="s">
        <v>24</v>
      </c>
      <c r="U1" s="79" t="s">
        <v>24</v>
      </c>
    </row>
    <row r="2" spans="1:25" s="21" customFormat="1" ht="17.25" customHeight="1">
      <c r="B2" s="12" t="str">
        <f>"Project: " &amp; INDEX(JobData,2,3)</f>
        <v>Project: Williams Post Office</v>
      </c>
      <c r="C2" s="46"/>
      <c r="D2" s="12"/>
      <c r="E2" s="47"/>
      <c r="F2" s="12"/>
      <c r="G2" s="12"/>
      <c r="H2" s="12"/>
      <c r="I2" s="48"/>
      <c r="J2" s="48"/>
      <c r="K2" s="12"/>
      <c r="L2" s="12"/>
      <c r="M2" s="12"/>
      <c r="N2" s="49" t="str">
        <f>"Period Through: " &amp; TEXT(INDEX(AccountingPeriods,INDEX(JobData,2,1),2),"mm/dd/yyyy")</f>
        <v>Period Through: 06/30/2008</v>
      </c>
      <c r="O2" s="12"/>
      <c r="P2" s="12"/>
    </row>
    <row r="3" spans="1:25" s="21" customFormat="1" ht="17.25" customHeight="1">
      <c r="B3" s="12" t="str">
        <f>"Location: " &amp; INDEX(JobData,2,4)</f>
        <v>Location: 19420 Williams Rd., Monte Rio, CA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46" t="str">
        <f>IF(ISNUMBER(INDEX(JobData,2,5)),"No Project Manager Specified","Project Manager: "&amp;INDEX(JobData,2,5))</f>
        <v>No Project Manager Specified</v>
      </c>
      <c r="O3" s="12"/>
      <c r="P3" s="12"/>
      <c r="R3"/>
    </row>
    <row r="4" spans="1:25" s="21" customFormat="1" ht="17.25" customHeight="1">
      <c r="A4" s="50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46" t="str">
        <f>"Project Number-Phase Number: " &amp;TEXT(INDEX(JobData,2,2),"0")&amp;"-"&amp;TEXT(INDEX(JobData,2,7),"0")</f>
        <v>Project Number-Phase Number: 186-0</v>
      </c>
      <c r="O4" s="12"/>
      <c r="P4" s="51"/>
    </row>
    <row r="5" spans="1:25" s="21" customFormat="1" ht="17.25" customHeight="1">
      <c r="A5" s="50"/>
      <c r="B5" s="12"/>
      <c r="C5" s="12"/>
      <c r="D5" s="12"/>
      <c r="E5" s="12"/>
      <c r="F5" s="12"/>
      <c r="G5" s="12"/>
      <c r="H5" s="12"/>
      <c r="I5" s="12"/>
      <c r="J5" s="12"/>
      <c r="K5" s="12"/>
      <c r="L5" s="50"/>
      <c r="M5" s="12"/>
      <c r="N5" s="49" t="str">
        <f>"Bid Date: " &amp; TEXT(INDEX(JobData,2,6),"mm/dd/yyyy")</f>
        <v>Bid Date: 07/15/2011</v>
      </c>
      <c r="O5" s="12"/>
      <c r="P5" s="51"/>
    </row>
    <row r="6" spans="1:25" ht="8.25" customHeight="1">
      <c r="A6" s="108"/>
      <c r="B6" s="108"/>
      <c r="C6" s="108"/>
      <c r="D6" s="109"/>
      <c r="E6" s="108"/>
      <c r="F6" s="108"/>
      <c r="G6" s="108"/>
      <c r="H6" s="109"/>
      <c r="I6" s="108"/>
      <c r="J6" s="108"/>
      <c r="K6" s="108"/>
      <c r="L6" s="108"/>
      <c r="M6" s="109"/>
      <c r="N6" s="108"/>
      <c r="O6" s="109"/>
      <c r="P6" s="110"/>
    </row>
    <row r="7" spans="1:25" s="22" customFormat="1" ht="23.25" customHeight="1" thickBot="1">
      <c r="A7" s="107" t="s">
        <v>70</v>
      </c>
      <c r="B7" s="31"/>
      <c r="C7" s="32"/>
      <c r="D7" s="109"/>
      <c r="E7" s="32"/>
      <c r="F7" s="42"/>
      <c r="G7" s="32"/>
      <c r="H7" s="109"/>
      <c r="I7" s="32"/>
      <c r="J7" s="32"/>
      <c r="K7" s="31"/>
      <c r="L7" s="31"/>
      <c r="M7" s="109"/>
      <c r="N7" s="31"/>
      <c r="O7" s="109"/>
      <c r="P7" s="43"/>
      <c r="S7" s="29" t="s">
        <v>25</v>
      </c>
      <c r="T7" s="30" t="s">
        <v>26</v>
      </c>
      <c r="U7" s="30" t="s">
        <v>27</v>
      </c>
    </row>
    <row r="8" spans="1:25" ht="45" customHeight="1">
      <c r="A8" s="33" t="s">
        <v>46</v>
      </c>
      <c r="B8" s="34"/>
      <c r="C8" s="54" t="s">
        <v>44</v>
      </c>
      <c r="D8" s="112"/>
      <c r="E8" s="60"/>
      <c r="F8" s="54" t="s">
        <v>2</v>
      </c>
      <c r="G8" s="54" t="s">
        <v>50</v>
      </c>
      <c r="H8" s="112"/>
      <c r="I8" s="64" t="s">
        <v>51</v>
      </c>
      <c r="J8" s="64" t="s">
        <v>53</v>
      </c>
      <c r="K8" s="56" t="s">
        <v>54</v>
      </c>
      <c r="L8" s="54" t="s">
        <v>56</v>
      </c>
      <c r="M8" s="112"/>
      <c r="N8" s="68" t="s">
        <v>58</v>
      </c>
      <c r="O8" s="112"/>
      <c r="P8" s="64" t="s">
        <v>60</v>
      </c>
      <c r="Q8" s="9"/>
      <c r="R8" s="9"/>
      <c r="S8" s="9"/>
      <c r="T8" s="9"/>
      <c r="U8" s="9"/>
      <c r="V8" s="9"/>
      <c r="W8" s="9"/>
      <c r="X8" s="9"/>
      <c r="Y8" s="9"/>
    </row>
    <row r="9" spans="1:25" ht="15" customHeight="1" thickBot="1">
      <c r="A9" s="52" t="s">
        <v>47</v>
      </c>
      <c r="B9" s="53" t="s">
        <v>17</v>
      </c>
      <c r="C9" s="55" t="s">
        <v>45</v>
      </c>
      <c r="D9" s="112"/>
      <c r="E9" s="61" t="s">
        <v>2</v>
      </c>
      <c r="F9" s="55" t="s">
        <v>48</v>
      </c>
      <c r="G9" s="55" t="s">
        <v>2</v>
      </c>
      <c r="H9" s="112"/>
      <c r="I9" s="61" t="s">
        <v>52</v>
      </c>
      <c r="J9" s="61" t="s">
        <v>2</v>
      </c>
      <c r="K9" s="53" t="s">
        <v>55</v>
      </c>
      <c r="L9" s="55" t="s">
        <v>57</v>
      </c>
      <c r="M9" s="112"/>
      <c r="N9" s="69" t="s">
        <v>59</v>
      </c>
      <c r="O9" s="112"/>
      <c r="P9" s="61" t="s">
        <v>61</v>
      </c>
      <c r="Q9" s="9"/>
      <c r="R9" s="9"/>
      <c r="S9" s="9"/>
      <c r="T9" s="9"/>
      <c r="U9" s="9"/>
      <c r="V9" s="9"/>
      <c r="W9" s="9"/>
      <c r="X9" s="9"/>
      <c r="Y9" s="9"/>
    </row>
    <row r="10" spans="1:25" ht="15.75" customHeight="1">
      <c r="A10" s="133">
        <f t="shared" ref="A10:A41" si="0">+IF(T10=1,INDEX(CostData,$S10,1),"")</f>
        <v>1000</v>
      </c>
      <c r="B10" s="134" t="str">
        <f t="shared" ref="B10:B41" si="1">IF(T10=1,INDEX(CostData,$S10,2),"")</f>
        <v>GENERAL REQUIREMENTS</v>
      </c>
      <c r="C10" s="135">
        <f t="shared" ref="C10:C41" si="2">IF(T10=1,INDEX(CostData,$S10,6)+(INDEX(CostData,$S10,7)*ParamIncludePrimeChanges),0)</f>
        <v>82252</v>
      </c>
      <c r="D10" s="113"/>
      <c r="E10" s="62">
        <f t="shared" ref="E10:E41" si="3">IF(T10=1,INDEX(CostData,$S10,3)+INDEX(CostData,$S10,4),0)</f>
        <v>69942</v>
      </c>
      <c r="F10" s="62">
        <f t="shared" ref="F10:F41" si="4">IF(T10=1,INDEX(CostData,$S10,5),0)</f>
        <v>0</v>
      </c>
      <c r="G10" s="63">
        <f>+E10+F10</f>
        <v>69942</v>
      </c>
      <c r="H10" s="113"/>
      <c r="I10" s="148">
        <f t="shared" ref="I10:I41" si="5">IF(T10=1,INDEX(CostData,$S10,8),0)</f>
        <v>17224.91</v>
      </c>
      <c r="J10" s="149">
        <f>+G10-I10</f>
        <v>52717.09</v>
      </c>
      <c r="K10" s="39">
        <v>32000</v>
      </c>
      <c r="L10" s="67">
        <f>I10+K10+IF(AND(K10=0,J10&gt;0),J10,0)</f>
        <v>49224.91</v>
      </c>
      <c r="M10" s="113"/>
      <c r="N10" s="70">
        <f t="shared" ref="N10:N41" si="6">G10-L10</f>
        <v>20717.089999999997</v>
      </c>
      <c r="O10" s="113"/>
      <c r="P10" s="73">
        <f t="shared" ref="P10:P41" si="7">C10-L10</f>
        <v>33027.089999999997</v>
      </c>
      <c r="Q10" s="23"/>
      <c r="R10" s="23"/>
      <c r="S10" s="8">
        <v>2</v>
      </c>
      <c r="T10" s="8">
        <f t="shared" ref="T10:T41" si="8">+IF(AND(INDEX(CostData,S10,1)&gt;0,ROUND(INDEX(CostData,S10,1),0)&lt;&gt;ParamCOCostCode),1,0)</f>
        <v>1</v>
      </c>
      <c r="U10" s="8">
        <f t="shared" ref="U10:U41" si="9">+IF(ROUND(INDEX(CostData,S10,1),0)=ParamCOCostCode,1,0)</f>
        <v>0</v>
      </c>
    </row>
    <row r="11" spans="1:25" ht="15.75" customHeight="1">
      <c r="A11" s="136">
        <f t="shared" si="0"/>
        <v>1020</v>
      </c>
      <c r="B11" s="137" t="str">
        <f t="shared" si="1"/>
        <v>Contingency</v>
      </c>
      <c r="C11" s="135">
        <f t="shared" si="2"/>
        <v>4116</v>
      </c>
      <c r="D11" s="113"/>
      <c r="E11" s="62">
        <f t="shared" si="3"/>
        <v>3500</v>
      </c>
      <c r="F11" s="62">
        <f t="shared" si="4"/>
        <v>0</v>
      </c>
      <c r="G11" s="63">
        <f t="shared" ref="G11:G74" si="10">+E11+F11</f>
        <v>3500</v>
      </c>
      <c r="H11" s="113"/>
      <c r="I11" s="150">
        <f t="shared" si="5"/>
        <v>0</v>
      </c>
      <c r="J11" s="149">
        <f t="shared" ref="J11:J74" si="11">+G11-I11</f>
        <v>3500</v>
      </c>
      <c r="K11" s="40"/>
      <c r="L11" s="58">
        <f t="shared" ref="L11:L74" si="12">I11+K11+IF(AND(K11=0,J11&gt;0),J11,0)</f>
        <v>3500</v>
      </c>
      <c r="M11" s="113"/>
      <c r="N11" s="71">
        <f t="shared" si="6"/>
        <v>0</v>
      </c>
      <c r="O11" s="113"/>
      <c r="P11" s="74">
        <f t="shared" si="7"/>
        <v>616</v>
      </c>
      <c r="Q11" s="23"/>
      <c r="R11" s="23"/>
      <c r="S11" s="8">
        <f t="shared" ref="S11:S42" si="13">+S10+1</f>
        <v>3</v>
      </c>
      <c r="T11" s="8">
        <f t="shared" si="8"/>
        <v>1</v>
      </c>
      <c r="U11" s="8">
        <f t="shared" si="9"/>
        <v>0</v>
      </c>
    </row>
    <row r="12" spans="1:25" ht="15.75" customHeight="1">
      <c r="A12" s="136">
        <f t="shared" si="0"/>
        <v>1310</v>
      </c>
      <c r="B12" s="137" t="str">
        <f t="shared" si="1"/>
        <v>Permits</v>
      </c>
      <c r="C12" s="135">
        <f t="shared" si="2"/>
        <v>10311</v>
      </c>
      <c r="D12" s="113"/>
      <c r="E12" s="62">
        <f t="shared" si="3"/>
        <v>10311</v>
      </c>
      <c r="F12" s="62">
        <f t="shared" si="4"/>
        <v>0</v>
      </c>
      <c r="G12" s="63">
        <f t="shared" si="10"/>
        <v>10311</v>
      </c>
      <c r="H12" s="113"/>
      <c r="I12" s="150">
        <f t="shared" si="5"/>
        <v>0</v>
      </c>
      <c r="J12" s="149">
        <f t="shared" si="11"/>
        <v>10311</v>
      </c>
      <c r="K12" s="40"/>
      <c r="L12" s="58">
        <f t="shared" si="12"/>
        <v>10311</v>
      </c>
      <c r="M12" s="113"/>
      <c r="N12" s="71">
        <f t="shared" si="6"/>
        <v>0</v>
      </c>
      <c r="O12" s="113"/>
      <c r="P12" s="74">
        <f t="shared" si="7"/>
        <v>0</v>
      </c>
      <c r="Q12" s="23"/>
      <c r="R12" s="23"/>
      <c r="S12" s="8">
        <f t="shared" si="13"/>
        <v>4</v>
      </c>
      <c r="T12" s="8">
        <f t="shared" si="8"/>
        <v>1</v>
      </c>
      <c r="U12" s="8">
        <f t="shared" si="9"/>
        <v>0</v>
      </c>
    </row>
    <row r="13" spans="1:25" ht="15.75" customHeight="1">
      <c r="A13" s="136">
        <f t="shared" si="0"/>
        <v>1510</v>
      </c>
      <c r="B13" s="137" t="str">
        <f t="shared" si="1"/>
        <v>Temp. Utilities</v>
      </c>
      <c r="C13" s="135">
        <f t="shared" si="2"/>
        <v>936</v>
      </c>
      <c r="D13" s="113"/>
      <c r="E13" s="62">
        <f t="shared" si="3"/>
        <v>796</v>
      </c>
      <c r="F13" s="62">
        <f t="shared" si="4"/>
        <v>0</v>
      </c>
      <c r="G13" s="63">
        <f t="shared" si="10"/>
        <v>796</v>
      </c>
      <c r="H13" s="113"/>
      <c r="I13" s="150">
        <f t="shared" si="5"/>
        <v>154.27000000000001</v>
      </c>
      <c r="J13" s="149">
        <f t="shared" si="11"/>
        <v>641.73</v>
      </c>
      <c r="K13" s="40"/>
      <c r="L13" s="58">
        <f t="shared" si="12"/>
        <v>796</v>
      </c>
      <c r="M13" s="113"/>
      <c r="N13" s="71">
        <f t="shared" si="6"/>
        <v>0</v>
      </c>
      <c r="O13" s="113"/>
      <c r="P13" s="74">
        <f t="shared" si="7"/>
        <v>140</v>
      </c>
      <c r="Q13" s="23"/>
      <c r="R13" s="23"/>
      <c r="S13" s="8">
        <f t="shared" si="13"/>
        <v>5</v>
      </c>
      <c r="T13" s="8">
        <f t="shared" si="8"/>
        <v>1</v>
      </c>
      <c r="U13" s="8">
        <f t="shared" si="9"/>
        <v>0</v>
      </c>
    </row>
    <row r="14" spans="1:25" ht="15.75" customHeight="1">
      <c r="A14" s="136">
        <f t="shared" si="0"/>
        <v>1520</v>
      </c>
      <c r="B14" s="137" t="str">
        <f t="shared" si="1"/>
        <v>Field Office &amp; Sheds</v>
      </c>
      <c r="C14" s="135">
        <f t="shared" si="2"/>
        <v>0</v>
      </c>
      <c r="D14" s="113"/>
      <c r="E14" s="62">
        <f t="shared" si="3"/>
        <v>0</v>
      </c>
      <c r="F14" s="62">
        <f t="shared" si="4"/>
        <v>0</v>
      </c>
      <c r="G14" s="63">
        <f t="shared" si="10"/>
        <v>0</v>
      </c>
      <c r="H14" s="113"/>
      <c r="I14" s="150">
        <f t="shared" si="5"/>
        <v>215</v>
      </c>
      <c r="J14" s="149">
        <f t="shared" si="11"/>
        <v>-215</v>
      </c>
      <c r="K14" s="40"/>
      <c r="L14" s="58">
        <f t="shared" si="12"/>
        <v>215</v>
      </c>
      <c r="M14" s="113"/>
      <c r="N14" s="71">
        <f t="shared" si="6"/>
        <v>-215</v>
      </c>
      <c r="O14" s="113"/>
      <c r="P14" s="74">
        <f t="shared" si="7"/>
        <v>-215</v>
      </c>
      <c r="Q14" s="23"/>
      <c r="R14" s="23"/>
      <c r="S14" s="8">
        <f t="shared" si="13"/>
        <v>6</v>
      </c>
      <c r="T14" s="8">
        <f t="shared" si="8"/>
        <v>1</v>
      </c>
      <c r="U14" s="8">
        <f t="shared" si="9"/>
        <v>0</v>
      </c>
    </row>
    <row r="15" spans="1:25" ht="15.75" customHeight="1">
      <c r="A15" s="136">
        <f t="shared" si="0"/>
        <v>1540</v>
      </c>
      <c r="B15" s="137" t="str">
        <f t="shared" si="1"/>
        <v>Mobilize &amp; Demobilize</v>
      </c>
      <c r="C15" s="135">
        <f t="shared" si="2"/>
        <v>1708</v>
      </c>
      <c r="D15" s="113"/>
      <c r="E15" s="62">
        <f t="shared" si="3"/>
        <v>1446</v>
      </c>
      <c r="F15" s="62">
        <f t="shared" si="4"/>
        <v>0</v>
      </c>
      <c r="G15" s="63">
        <f t="shared" si="10"/>
        <v>1446</v>
      </c>
      <c r="H15" s="113"/>
      <c r="I15" s="150">
        <f t="shared" si="5"/>
        <v>0</v>
      </c>
      <c r="J15" s="149">
        <f t="shared" si="11"/>
        <v>1446</v>
      </c>
      <c r="K15" s="40"/>
      <c r="L15" s="58">
        <f t="shared" si="12"/>
        <v>1446</v>
      </c>
      <c r="M15" s="113"/>
      <c r="N15" s="71">
        <f t="shared" si="6"/>
        <v>0</v>
      </c>
      <c r="O15" s="113"/>
      <c r="P15" s="74">
        <f t="shared" si="7"/>
        <v>262</v>
      </c>
      <c r="Q15" s="23"/>
      <c r="R15" s="23"/>
      <c r="S15" s="8">
        <f t="shared" si="13"/>
        <v>7</v>
      </c>
      <c r="T15" s="8">
        <f t="shared" si="8"/>
        <v>1</v>
      </c>
      <c r="U15" s="8">
        <f t="shared" si="9"/>
        <v>0</v>
      </c>
    </row>
    <row r="16" spans="1:25" ht="15.75" customHeight="1">
      <c r="A16" s="136">
        <f t="shared" si="0"/>
        <v>2000</v>
      </c>
      <c r="B16" s="137" t="str">
        <f t="shared" si="1"/>
        <v>SITE WORK</v>
      </c>
      <c r="C16" s="135">
        <f t="shared" si="2"/>
        <v>67015</v>
      </c>
      <c r="D16" s="113"/>
      <c r="E16" s="62">
        <f t="shared" si="3"/>
        <v>56985</v>
      </c>
      <c r="F16" s="62">
        <f t="shared" si="4"/>
        <v>0</v>
      </c>
      <c r="G16" s="58">
        <f t="shared" si="10"/>
        <v>56985</v>
      </c>
      <c r="H16" s="113"/>
      <c r="I16" s="150">
        <f t="shared" si="5"/>
        <v>35235</v>
      </c>
      <c r="J16" s="149">
        <f t="shared" si="11"/>
        <v>21750</v>
      </c>
      <c r="K16" s="40"/>
      <c r="L16" s="58">
        <f t="shared" si="12"/>
        <v>56985</v>
      </c>
      <c r="M16" s="113"/>
      <c r="N16" s="71">
        <f t="shared" si="6"/>
        <v>0</v>
      </c>
      <c r="O16" s="113"/>
      <c r="P16" s="74">
        <f t="shared" si="7"/>
        <v>10030</v>
      </c>
      <c r="Q16" s="23"/>
      <c r="R16" s="23"/>
      <c r="S16" s="8">
        <f t="shared" si="13"/>
        <v>8</v>
      </c>
      <c r="T16" s="8">
        <f t="shared" si="8"/>
        <v>1</v>
      </c>
      <c r="U16" s="8">
        <f t="shared" si="9"/>
        <v>0</v>
      </c>
    </row>
    <row r="17" spans="1:21" ht="15.75" customHeight="1">
      <c r="A17" s="136">
        <f t="shared" si="0"/>
        <v>2300</v>
      </c>
      <c r="B17" s="137" t="str">
        <f t="shared" si="1"/>
        <v>Excavation/Export/Fill</v>
      </c>
      <c r="C17" s="135">
        <f t="shared" si="2"/>
        <v>9710</v>
      </c>
      <c r="D17" s="113"/>
      <c r="E17" s="62">
        <f t="shared" si="3"/>
        <v>8151</v>
      </c>
      <c r="F17" s="62">
        <f t="shared" si="4"/>
        <v>0</v>
      </c>
      <c r="G17" s="58">
        <f t="shared" si="10"/>
        <v>8151</v>
      </c>
      <c r="H17" s="113"/>
      <c r="I17" s="150">
        <f t="shared" si="5"/>
        <v>0</v>
      </c>
      <c r="J17" s="149">
        <f t="shared" si="11"/>
        <v>8151</v>
      </c>
      <c r="K17" s="40"/>
      <c r="L17" s="58">
        <f t="shared" si="12"/>
        <v>8151</v>
      </c>
      <c r="M17" s="113"/>
      <c r="N17" s="71">
        <f t="shared" si="6"/>
        <v>0</v>
      </c>
      <c r="O17" s="113"/>
      <c r="P17" s="74">
        <f t="shared" si="7"/>
        <v>1559</v>
      </c>
      <c r="Q17" s="23"/>
      <c r="R17" s="23"/>
      <c r="S17" s="8">
        <f t="shared" si="13"/>
        <v>9</v>
      </c>
      <c r="T17" s="8">
        <f t="shared" si="8"/>
        <v>1</v>
      </c>
      <c r="U17" s="8">
        <f t="shared" si="9"/>
        <v>0</v>
      </c>
    </row>
    <row r="18" spans="1:21" ht="15.75" customHeight="1">
      <c r="A18" s="136">
        <f t="shared" si="0"/>
        <v>3000</v>
      </c>
      <c r="B18" s="137" t="str">
        <f t="shared" si="1"/>
        <v>CONCRETE</v>
      </c>
      <c r="C18" s="135">
        <f t="shared" si="2"/>
        <v>3977</v>
      </c>
      <c r="D18" s="113"/>
      <c r="E18" s="62">
        <f t="shared" si="3"/>
        <v>3381</v>
      </c>
      <c r="F18" s="62">
        <f t="shared" si="4"/>
        <v>0</v>
      </c>
      <c r="G18" s="58">
        <f t="shared" si="10"/>
        <v>3381</v>
      </c>
      <c r="H18" s="113"/>
      <c r="I18" s="150">
        <f t="shared" si="5"/>
        <v>0</v>
      </c>
      <c r="J18" s="149">
        <f t="shared" si="11"/>
        <v>3381</v>
      </c>
      <c r="K18" s="40"/>
      <c r="L18" s="58">
        <f t="shared" si="12"/>
        <v>3381</v>
      </c>
      <c r="M18" s="113"/>
      <c r="N18" s="71">
        <f t="shared" si="6"/>
        <v>0</v>
      </c>
      <c r="O18" s="113"/>
      <c r="P18" s="74">
        <f t="shared" si="7"/>
        <v>596</v>
      </c>
      <c r="Q18" s="23"/>
      <c r="R18" s="23"/>
      <c r="S18" s="8">
        <f t="shared" si="13"/>
        <v>10</v>
      </c>
      <c r="T18" s="8">
        <f t="shared" si="8"/>
        <v>1</v>
      </c>
      <c r="U18" s="8">
        <f t="shared" si="9"/>
        <v>0</v>
      </c>
    </row>
    <row r="19" spans="1:21" ht="15.75" customHeight="1">
      <c r="A19" s="136">
        <f t="shared" si="0"/>
        <v>3100</v>
      </c>
      <c r="B19" s="137" t="str">
        <f t="shared" si="1"/>
        <v>Foundation Formwork</v>
      </c>
      <c r="C19" s="135">
        <f t="shared" si="2"/>
        <v>9400</v>
      </c>
      <c r="D19" s="113"/>
      <c r="E19" s="62">
        <f t="shared" si="3"/>
        <v>7695</v>
      </c>
      <c r="F19" s="62">
        <f t="shared" si="4"/>
        <v>0</v>
      </c>
      <c r="G19" s="58">
        <f t="shared" si="10"/>
        <v>7695</v>
      </c>
      <c r="H19" s="113"/>
      <c r="I19" s="150">
        <f t="shared" si="5"/>
        <v>2790.59</v>
      </c>
      <c r="J19" s="149">
        <f t="shared" si="11"/>
        <v>4904.41</v>
      </c>
      <c r="K19" s="40"/>
      <c r="L19" s="58">
        <f t="shared" si="12"/>
        <v>7695</v>
      </c>
      <c r="M19" s="113"/>
      <c r="N19" s="71">
        <f t="shared" si="6"/>
        <v>0</v>
      </c>
      <c r="O19" s="113"/>
      <c r="P19" s="74">
        <f t="shared" si="7"/>
        <v>1705</v>
      </c>
      <c r="Q19" s="23"/>
      <c r="R19" s="23"/>
      <c r="S19" s="8">
        <f t="shared" si="13"/>
        <v>11</v>
      </c>
      <c r="T19" s="8">
        <f t="shared" si="8"/>
        <v>1</v>
      </c>
      <c r="U19" s="8">
        <f t="shared" si="9"/>
        <v>0</v>
      </c>
    </row>
    <row r="20" spans="1:21" ht="15.75" customHeight="1">
      <c r="A20" s="136">
        <f t="shared" si="0"/>
        <v>3200</v>
      </c>
      <c r="B20" s="137" t="str">
        <f t="shared" si="1"/>
        <v>Foundation Reinforcement</v>
      </c>
      <c r="C20" s="135">
        <f t="shared" si="2"/>
        <v>528</v>
      </c>
      <c r="D20" s="113"/>
      <c r="E20" s="62">
        <f t="shared" si="3"/>
        <v>417</v>
      </c>
      <c r="F20" s="62">
        <f t="shared" si="4"/>
        <v>0</v>
      </c>
      <c r="G20" s="58">
        <f t="shared" si="10"/>
        <v>417</v>
      </c>
      <c r="H20" s="113"/>
      <c r="I20" s="150">
        <f t="shared" si="5"/>
        <v>0</v>
      </c>
      <c r="J20" s="149">
        <f t="shared" si="11"/>
        <v>417</v>
      </c>
      <c r="K20" s="40"/>
      <c r="L20" s="58">
        <f t="shared" si="12"/>
        <v>417</v>
      </c>
      <c r="M20" s="113"/>
      <c r="N20" s="71">
        <f t="shared" si="6"/>
        <v>0</v>
      </c>
      <c r="O20" s="113"/>
      <c r="P20" s="74">
        <f t="shared" si="7"/>
        <v>111</v>
      </c>
      <c r="Q20" s="23"/>
      <c r="R20" s="23"/>
      <c r="S20" s="8">
        <f t="shared" si="13"/>
        <v>12</v>
      </c>
      <c r="T20" s="8">
        <f t="shared" si="8"/>
        <v>1</v>
      </c>
      <c r="U20" s="8">
        <f t="shared" si="9"/>
        <v>0</v>
      </c>
    </row>
    <row r="21" spans="1:21" ht="15.75" customHeight="1">
      <c r="A21" s="136">
        <f t="shared" si="0"/>
        <v>3300</v>
      </c>
      <c r="B21" s="137" t="str">
        <f t="shared" si="1"/>
        <v>Foundation Cast-in-Place</v>
      </c>
      <c r="C21" s="135">
        <f t="shared" si="2"/>
        <v>6385</v>
      </c>
      <c r="D21" s="113"/>
      <c r="E21" s="62">
        <f t="shared" si="3"/>
        <v>5066</v>
      </c>
      <c r="F21" s="62">
        <f t="shared" si="4"/>
        <v>0</v>
      </c>
      <c r="G21" s="58">
        <f t="shared" si="10"/>
        <v>5066</v>
      </c>
      <c r="H21" s="113"/>
      <c r="I21" s="150">
        <f t="shared" si="5"/>
        <v>0</v>
      </c>
      <c r="J21" s="149">
        <f t="shared" si="11"/>
        <v>5066</v>
      </c>
      <c r="K21" s="40"/>
      <c r="L21" s="58">
        <f t="shared" si="12"/>
        <v>5066</v>
      </c>
      <c r="M21" s="113"/>
      <c r="N21" s="71">
        <f t="shared" si="6"/>
        <v>0</v>
      </c>
      <c r="O21" s="113"/>
      <c r="P21" s="74">
        <f t="shared" si="7"/>
        <v>1319</v>
      </c>
      <c r="Q21" s="23"/>
      <c r="R21" s="23"/>
      <c r="S21" s="8">
        <f t="shared" si="13"/>
        <v>13</v>
      </c>
      <c r="T21" s="8">
        <f t="shared" si="8"/>
        <v>1</v>
      </c>
      <c r="U21" s="8">
        <f t="shared" si="9"/>
        <v>0</v>
      </c>
    </row>
    <row r="22" spans="1:21" ht="15.75" customHeight="1">
      <c r="A22" s="136">
        <f t="shared" si="0"/>
        <v>3340</v>
      </c>
      <c r="B22" s="137" t="str">
        <f t="shared" si="1"/>
        <v>Slab Prep</v>
      </c>
      <c r="C22" s="135">
        <f t="shared" si="2"/>
        <v>11312</v>
      </c>
      <c r="D22" s="113"/>
      <c r="E22" s="62">
        <f t="shared" si="3"/>
        <v>14495</v>
      </c>
      <c r="F22" s="62">
        <f t="shared" si="4"/>
        <v>0</v>
      </c>
      <c r="G22" s="58">
        <f t="shared" si="10"/>
        <v>14495</v>
      </c>
      <c r="H22" s="113"/>
      <c r="I22" s="150">
        <f t="shared" si="5"/>
        <v>0</v>
      </c>
      <c r="J22" s="149">
        <f t="shared" si="11"/>
        <v>14495</v>
      </c>
      <c r="K22" s="40"/>
      <c r="L22" s="58">
        <f t="shared" si="12"/>
        <v>14495</v>
      </c>
      <c r="M22" s="113"/>
      <c r="N22" s="71">
        <f t="shared" si="6"/>
        <v>0</v>
      </c>
      <c r="O22" s="113"/>
      <c r="P22" s="74">
        <f t="shared" si="7"/>
        <v>-3183</v>
      </c>
      <c r="Q22" s="23"/>
      <c r="R22" s="23"/>
      <c r="S22" s="8">
        <f t="shared" si="13"/>
        <v>14</v>
      </c>
      <c r="T22" s="8">
        <f t="shared" si="8"/>
        <v>1</v>
      </c>
      <c r="U22" s="8">
        <f t="shared" si="9"/>
        <v>0</v>
      </c>
    </row>
    <row r="23" spans="1:21" ht="15.75" customHeight="1">
      <c r="A23" s="136">
        <f t="shared" si="0"/>
        <v>3350</v>
      </c>
      <c r="B23" s="137" t="str">
        <f t="shared" si="1"/>
        <v>Slab Cast-in-Place</v>
      </c>
      <c r="C23" s="135">
        <f t="shared" si="2"/>
        <v>15411</v>
      </c>
      <c r="D23" s="113"/>
      <c r="E23" s="62">
        <f t="shared" si="3"/>
        <v>7644</v>
      </c>
      <c r="F23" s="62">
        <f t="shared" si="4"/>
        <v>0</v>
      </c>
      <c r="G23" s="58">
        <f t="shared" si="10"/>
        <v>7644</v>
      </c>
      <c r="H23" s="113"/>
      <c r="I23" s="150">
        <f t="shared" si="5"/>
        <v>0</v>
      </c>
      <c r="J23" s="149">
        <f t="shared" si="11"/>
        <v>7644</v>
      </c>
      <c r="K23" s="40"/>
      <c r="L23" s="58">
        <f t="shared" si="12"/>
        <v>7644</v>
      </c>
      <c r="M23" s="113"/>
      <c r="N23" s="71">
        <f t="shared" si="6"/>
        <v>0</v>
      </c>
      <c r="O23" s="113"/>
      <c r="P23" s="74">
        <f t="shared" si="7"/>
        <v>7767</v>
      </c>
      <c r="Q23" s="23"/>
      <c r="R23" s="23"/>
      <c r="S23" s="8">
        <f t="shared" si="13"/>
        <v>15</v>
      </c>
      <c r="T23" s="8">
        <f t="shared" si="8"/>
        <v>1</v>
      </c>
      <c r="U23" s="8">
        <f t="shared" si="9"/>
        <v>0</v>
      </c>
    </row>
    <row r="24" spans="1:21" ht="15.75" customHeight="1">
      <c r="A24" s="136">
        <f t="shared" si="0"/>
        <v>4000</v>
      </c>
      <c r="B24" s="137" t="str">
        <f t="shared" si="1"/>
        <v>MASONRY</v>
      </c>
      <c r="C24" s="135">
        <f t="shared" si="2"/>
        <v>43659</v>
      </c>
      <c r="D24" s="113"/>
      <c r="E24" s="62">
        <f t="shared" si="3"/>
        <v>37125</v>
      </c>
      <c r="F24" s="62">
        <f t="shared" si="4"/>
        <v>0</v>
      </c>
      <c r="G24" s="58">
        <f t="shared" si="10"/>
        <v>37125</v>
      </c>
      <c r="H24" s="113"/>
      <c r="I24" s="150">
        <f t="shared" si="5"/>
        <v>0</v>
      </c>
      <c r="J24" s="149">
        <f t="shared" si="11"/>
        <v>37125</v>
      </c>
      <c r="K24" s="40"/>
      <c r="L24" s="58">
        <f t="shared" si="12"/>
        <v>37125</v>
      </c>
      <c r="M24" s="113"/>
      <c r="N24" s="71">
        <f t="shared" si="6"/>
        <v>0</v>
      </c>
      <c r="O24" s="113"/>
      <c r="P24" s="74">
        <f t="shared" si="7"/>
        <v>6534</v>
      </c>
      <c r="Q24" s="23"/>
      <c r="R24" s="23"/>
      <c r="S24" s="8">
        <f t="shared" si="13"/>
        <v>16</v>
      </c>
      <c r="T24" s="8">
        <f t="shared" si="8"/>
        <v>1</v>
      </c>
      <c r="U24" s="8">
        <f t="shared" si="9"/>
        <v>0</v>
      </c>
    </row>
    <row r="25" spans="1:21" ht="15.75" customHeight="1">
      <c r="A25" s="136">
        <f t="shared" si="0"/>
        <v>5100</v>
      </c>
      <c r="B25" s="137" t="str">
        <f t="shared" si="1"/>
        <v>Structural Steel</v>
      </c>
      <c r="C25" s="135">
        <f t="shared" si="2"/>
        <v>11972</v>
      </c>
      <c r="D25" s="113"/>
      <c r="E25" s="62">
        <f t="shared" si="3"/>
        <v>10180</v>
      </c>
      <c r="F25" s="62">
        <f t="shared" si="4"/>
        <v>0</v>
      </c>
      <c r="G25" s="58">
        <f t="shared" si="10"/>
        <v>10180</v>
      </c>
      <c r="H25" s="113"/>
      <c r="I25" s="150">
        <f t="shared" si="5"/>
        <v>0</v>
      </c>
      <c r="J25" s="149">
        <f t="shared" si="11"/>
        <v>10180</v>
      </c>
      <c r="K25" s="40"/>
      <c r="L25" s="58">
        <f t="shared" si="12"/>
        <v>10180</v>
      </c>
      <c r="M25" s="113"/>
      <c r="N25" s="71">
        <f t="shared" si="6"/>
        <v>0</v>
      </c>
      <c r="O25" s="113"/>
      <c r="P25" s="74">
        <f t="shared" si="7"/>
        <v>1792</v>
      </c>
      <c r="Q25" s="23"/>
      <c r="R25" s="23"/>
      <c r="S25" s="8">
        <f t="shared" si="13"/>
        <v>17</v>
      </c>
      <c r="T25" s="8">
        <f t="shared" si="8"/>
        <v>1</v>
      </c>
      <c r="U25" s="8">
        <f t="shared" si="9"/>
        <v>0</v>
      </c>
    </row>
    <row r="26" spans="1:21" ht="15.75" customHeight="1">
      <c r="A26" s="136">
        <f t="shared" si="0"/>
        <v>6100</v>
      </c>
      <c r="B26" s="137" t="str">
        <f t="shared" si="1"/>
        <v>Rough Framing</v>
      </c>
      <c r="C26" s="135">
        <f t="shared" si="2"/>
        <v>46630</v>
      </c>
      <c r="D26" s="113"/>
      <c r="E26" s="62">
        <f t="shared" si="3"/>
        <v>39339</v>
      </c>
      <c r="F26" s="62">
        <f t="shared" si="4"/>
        <v>0</v>
      </c>
      <c r="G26" s="58">
        <f t="shared" si="10"/>
        <v>39339</v>
      </c>
      <c r="H26" s="113"/>
      <c r="I26" s="150">
        <f t="shared" si="5"/>
        <v>2274.59</v>
      </c>
      <c r="J26" s="149">
        <f t="shared" si="11"/>
        <v>37064.410000000003</v>
      </c>
      <c r="K26" s="40"/>
      <c r="L26" s="58">
        <f t="shared" si="12"/>
        <v>39339</v>
      </c>
      <c r="M26" s="113"/>
      <c r="N26" s="71">
        <f t="shared" si="6"/>
        <v>0</v>
      </c>
      <c r="O26" s="113"/>
      <c r="P26" s="74">
        <f t="shared" si="7"/>
        <v>7291</v>
      </c>
      <c r="Q26" s="23"/>
      <c r="R26" s="23"/>
      <c r="S26" s="8">
        <f t="shared" si="13"/>
        <v>18</v>
      </c>
      <c r="T26" s="8">
        <f t="shared" si="8"/>
        <v>1</v>
      </c>
      <c r="U26" s="8">
        <f t="shared" si="9"/>
        <v>0</v>
      </c>
    </row>
    <row r="27" spans="1:21" ht="15.75" customHeight="1">
      <c r="A27" s="136">
        <f t="shared" si="0"/>
        <v>6120</v>
      </c>
      <c r="B27" s="137" t="str">
        <f t="shared" si="1"/>
        <v>Wall Framing</v>
      </c>
      <c r="C27" s="135">
        <f t="shared" si="2"/>
        <v>2522</v>
      </c>
      <c r="D27" s="113"/>
      <c r="E27" s="62">
        <f t="shared" si="3"/>
        <v>2095</v>
      </c>
      <c r="F27" s="62">
        <f t="shared" si="4"/>
        <v>0</v>
      </c>
      <c r="G27" s="58">
        <f t="shared" si="10"/>
        <v>2095</v>
      </c>
      <c r="H27" s="113"/>
      <c r="I27" s="150">
        <f t="shared" si="5"/>
        <v>0</v>
      </c>
      <c r="J27" s="149">
        <f t="shared" si="11"/>
        <v>2095</v>
      </c>
      <c r="K27" s="40"/>
      <c r="L27" s="58">
        <f t="shared" si="12"/>
        <v>2095</v>
      </c>
      <c r="M27" s="113"/>
      <c r="N27" s="71">
        <f t="shared" si="6"/>
        <v>0</v>
      </c>
      <c r="O27" s="113"/>
      <c r="P27" s="74">
        <f t="shared" si="7"/>
        <v>427</v>
      </c>
      <c r="Q27" s="23"/>
      <c r="R27" s="23"/>
      <c r="S27" s="8">
        <f t="shared" si="13"/>
        <v>19</v>
      </c>
      <c r="T27" s="8">
        <f t="shared" si="8"/>
        <v>1</v>
      </c>
      <c r="U27" s="8">
        <f t="shared" si="9"/>
        <v>0</v>
      </c>
    </row>
    <row r="28" spans="1:21" ht="15.75" customHeight="1">
      <c r="A28" s="136">
        <f t="shared" si="0"/>
        <v>6130</v>
      </c>
      <c r="B28" s="137" t="str">
        <f t="shared" si="1"/>
        <v>Roof Framing</v>
      </c>
      <c r="C28" s="135">
        <f t="shared" si="2"/>
        <v>13040</v>
      </c>
      <c r="D28" s="113"/>
      <c r="E28" s="62">
        <f t="shared" si="3"/>
        <v>11088</v>
      </c>
      <c r="F28" s="62">
        <f t="shared" si="4"/>
        <v>0</v>
      </c>
      <c r="G28" s="58">
        <f t="shared" si="10"/>
        <v>11088</v>
      </c>
      <c r="H28" s="113"/>
      <c r="I28" s="150">
        <f t="shared" si="5"/>
        <v>3549.92</v>
      </c>
      <c r="J28" s="149">
        <f t="shared" si="11"/>
        <v>7538.08</v>
      </c>
      <c r="K28" s="40"/>
      <c r="L28" s="58">
        <f t="shared" si="12"/>
        <v>11088</v>
      </c>
      <c r="M28" s="113"/>
      <c r="N28" s="71">
        <f t="shared" si="6"/>
        <v>0</v>
      </c>
      <c r="O28" s="113"/>
      <c r="P28" s="74">
        <f t="shared" si="7"/>
        <v>1952</v>
      </c>
      <c r="Q28" s="23"/>
      <c r="R28" s="23"/>
      <c r="S28" s="8">
        <f t="shared" si="13"/>
        <v>20</v>
      </c>
      <c r="T28" s="8">
        <f t="shared" si="8"/>
        <v>1</v>
      </c>
      <c r="U28" s="8">
        <f t="shared" si="9"/>
        <v>0</v>
      </c>
    </row>
    <row r="29" spans="1:21" ht="15.75" customHeight="1">
      <c r="A29" s="136">
        <f t="shared" si="0"/>
        <v>6190</v>
      </c>
      <c r="B29" s="137" t="str">
        <f t="shared" si="1"/>
        <v>Truss (Prefab)</v>
      </c>
      <c r="C29" s="135">
        <f t="shared" si="2"/>
        <v>19052</v>
      </c>
      <c r="D29" s="113"/>
      <c r="E29" s="62">
        <f t="shared" si="3"/>
        <v>15070</v>
      </c>
      <c r="F29" s="62">
        <f t="shared" si="4"/>
        <v>0</v>
      </c>
      <c r="G29" s="58">
        <f t="shared" si="10"/>
        <v>15070</v>
      </c>
      <c r="H29" s="113"/>
      <c r="I29" s="150">
        <f t="shared" si="5"/>
        <v>0</v>
      </c>
      <c r="J29" s="149">
        <f t="shared" si="11"/>
        <v>15070</v>
      </c>
      <c r="K29" s="40"/>
      <c r="L29" s="58">
        <f t="shared" si="12"/>
        <v>15070</v>
      </c>
      <c r="M29" s="113"/>
      <c r="N29" s="71">
        <f t="shared" si="6"/>
        <v>0</v>
      </c>
      <c r="O29" s="113"/>
      <c r="P29" s="74">
        <f t="shared" si="7"/>
        <v>3982</v>
      </c>
      <c r="Q29" s="23"/>
      <c r="R29" s="23"/>
      <c r="S29" s="8">
        <f t="shared" si="13"/>
        <v>21</v>
      </c>
      <c r="T29" s="8">
        <f t="shared" si="8"/>
        <v>1</v>
      </c>
      <c r="U29" s="8">
        <f t="shared" si="9"/>
        <v>0</v>
      </c>
    </row>
    <row r="30" spans="1:21" ht="15.75" customHeight="1">
      <c r="A30" s="136">
        <f t="shared" si="0"/>
        <v>6200</v>
      </c>
      <c r="B30" s="137" t="str">
        <f t="shared" si="1"/>
        <v>Finish Carpentry</v>
      </c>
      <c r="C30" s="135">
        <f t="shared" si="2"/>
        <v>10733</v>
      </c>
      <c r="D30" s="113"/>
      <c r="E30" s="62">
        <f t="shared" si="3"/>
        <v>8778</v>
      </c>
      <c r="F30" s="62">
        <f t="shared" si="4"/>
        <v>0</v>
      </c>
      <c r="G30" s="58">
        <f t="shared" si="10"/>
        <v>8778</v>
      </c>
      <c r="H30" s="113"/>
      <c r="I30" s="150">
        <f t="shared" si="5"/>
        <v>5514.42</v>
      </c>
      <c r="J30" s="149">
        <f t="shared" si="11"/>
        <v>3263.58</v>
      </c>
      <c r="K30" s="40"/>
      <c r="L30" s="58">
        <f t="shared" si="12"/>
        <v>8778</v>
      </c>
      <c r="M30" s="113"/>
      <c r="N30" s="71">
        <f t="shared" si="6"/>
        <v>0</v>
      </c>
      <c r="O30" s="113"/>
      <c r="P30" s="74">
        <f t="shared" si="7"/>
        <v>1955</v>
      </c>
      <c r="Q30" s="23"/>
      <c r="R30" s="23"/>
      <c r="S30" s="8">
        <f t="shared" si="13"/>
        <v>22</v>
      </c>
      <c r="T30" s="8">
        <f t="shared" si="8"/>
        <v>1</v>
      </c>
      <c r="U30" s="8">
        <f t="shared" si="9"/>
        <v>0</v>
      </c>
    </row>
    <row r="31" spans="1:21" ht="15.75" customHeight="1">
      <c r="A31" s="136">
        <f t="shared" si="0"/>
        <v>6400</v>
      </c>
      <c r="B31" s="137" t="str">
        <f t="shared" si="1"/>
        <v>Custom Casework</v>
      </c>
      <c r="C31" s="135">
        <f t="shared" si="2"/>
        <v>0</v>
      </c>
      <c r="D31" s="113"/>
      <c r="E31" s="62">
        <f t="shared" si="3"/>
        <v>0</v>
      </c>
      <c r="F31" s="62">
        <f t="shared" si="4"/>
        <v>0</v>
      </c>
      <c r="G31" s="58">
        <f t="shared" si="10"/>
        <v>0</v>
      </c>
      <c r="H31" s="113"/>
      <c r="I31" s="150">
        <f t="shared" si="5"/>
        <v>732.54</v>
      </c>
      <c r="J31" s="149">
        <f t="shared" si="11"/>
        <v>-732.54</v>
      </c>
      <c r="K31" s="40"/>
      <c r="L31" s="58">
        <f t="shared" si="12"/>
        <v>732.54</v>
      </c>
      <c r="M31" s="113"/>
      <c r="N31" s="71">
        <f t="shared" si="6"/>
        <v>-732.54</v>
      </c>
      <c r="O31" s="113"/>
      <c r="P31" s="74">
        <f t="shared" si="7"/>
        <v>-732.54</v>
      </c>
      <c r="Q31" s="23"/>
      <c r="R31" s="23"/>
      <c r="S31" s="8">
        <f t="shared" si="13"/>
        <v>23</v>
      </c>
      <c r="T31" s="8">
        <f t="shared" si="8"/>
        <v>1</v>
      </c>
      <c r="U31" s="8">
        <f t="shared" si="9"/>
        <v>0</v>
      </c>
    </row>
    <row r="32" spans="1:21" ht="15.75" customHeight="1">
      <c r="A32" s="136">
        <f t="shared" si="0"/>
        <v>6700</v>
      </c>
      <c r="B32" s="137" t="str">
        <f t="shared" si="1"/>
        <v>Rough Hardware</v>
      </c>
      <c r="C32" s="135">
        <f t="shared" si="2"/>
        <v>829</v>
      </c>
      <c r="D32" s="113"/>
      <c r="E32" s="62">
        <f t="shared" si="3"/>
        <v>655</v>
      </c>
      <c r="F32" s="62">
        <f t="shared" si="4"/>
        <v>0</v>
      </c>
      <c r="G32" s="58">
        <f t="shared" si="10"/>
        <v>655</v>
      </c>
      <c r="H32" s="113"/>
      <c r="I32" s="150">
        <f t="shared" si="5"/>
        <v>0.95</v>
      </c>
      <c r="J32" s="149">
        <f t="shared" si="11"/>
        <v>654.04999999999995</v>
      </c>
      <c r="K32" s="40"/>
      <c r="L32" s="58">
        <f t="shared" si="12"/>
        <v>655</v>
      </c>
      <c r="M32" s="113"/>
      <c r="N32" s="71">
        <f t="shared" si="6"/>
        <v>0</v>
      </c>
      <c r="O32" s="113"/>
      <c r="P32" s="74">
        <f t="shared" si="7"/>
        <v>174</v>
      </c>
      <c r="Q32" s="23"/>
      <c r="R32" s="23"/>
      <c r="S32" s="8">
        <f t="shared" si="13"/>
        <v>24</v>
      </c>
      <c r="T32" s="8">
        <f t="shared" si="8"/>
        <v>1</v>
      </c>
      <c r="U32" s="8">
        <f t="shared" si="9"/>
        <v>0</v>
      </c>
    </row>
    <row r="33" spans="1:21" ht="15.75" customHeight="1">
      <c r="A33" s="136">
        <f t="shared" si="0"/>
        <v>7000</v>
      </c>
      <c r="B33" s="137" t="str">
        <f t="shared" si="1"/>
        <v>THERMAL &amp; MOISTURE</v>
      </c>
      <c r="C33" s="135">
        <f t="shared" si="2"/>
        <v>30</v>
      </c>
      <c r="D33" s="113"/>
      <c r="E33" s="62">
        <f t="shared" si="3"/>
        <v>24</v>
      </c>
      <c r="F33" s="62">
        <f t="shared" si="4"/>
        <v>0</v>
      </c>
      <c r="G33" s="58">
        <f t="shared" si="10"/>
        <v>24</v>
      </c>
      <c r="H33" s="113"/>
      <c r="I33" s="150">
        <f t="shared" si="5"/>
        <v>25.2</v>
      </c>
      <c r="J33" s="149">
        <f t="shared" si="11"/>
        <v>-1.1999999999999993</v>
      </c>
      <c r="K33" s="40"/>
      <c r="L33" s="58">
        <f t="shared" si="12"/>
        <v>25.2</v>
      </c>
      <c r="M33" s="113"/>
      <c r="N33" s="71">
        <f t="shared" si="6"/>
        <v>-1.1999999999999993</v>
      </c>
      <c r="O33" s="113"/>
      <c r="P33" s="74">
        <f t="shared" si="7"/>
        <v>4.8000000000000007</v>
      </c>
      <c r="Q33" s="23"/>
      <c r="R33" s="23"/>
      <c r="S33" s="8">
        <f t="shared" si="13"/>
        <v>25</v>
      </c>
      <c r="T33" s="8">
        <f t="shared" si="8"/>
        <v>1</v>
      </c>
      <c r="U33" s="8">
        <f t="shared" si="9"/>
        <v>0</v>
      </c>
    </row>
    <row r="34" spans="1:21" ht="15.75" customHeight="1">
      <c r="A34" s="136">
        <f t="shared" si="0"/>
        <v>7200</v>
      </c>
      <c r="B34" s="137" t="str">
        <f t="shared" si="1"/>
        <v>Insulation</v>
      </c>
      <c r="C34" s="135">
        <f t="shared" si="2"/>
        <v>4916</v>
      </c>
      <c r="D34" s="113"/>
      <c r="E34" s="62">
        <f t="shared" si="3"/>
        <v>4180</v>
      </c>
      <c r="F34" s="62">
        <f t="shared" si="4"/>
        <v>0</v>
      </c>
      <c r="G34" s="58">
        <f t="shared" si="10"/>
        <v>4180</v>
      </c>
      <c r="H34" s="113"/>
      <c r="I34" s="150">
        <f t="shared" si="5"/>
        <v>0</v>
      </c>
      <c r="J34" s="149">
        <f t="shared" si="11"/>
        <v>4180</v>
      </c>
      <c r="K34" s="40"/>
      <c r="L34" s="58">
        <f t="shared" si="12"/>
        <v>4180</v>
      </c>
      <c r="M34" s="113"/>
      <c r="N34" s="71">
        <f t="shared" si="6"/>
        <v>0</v>
      </c>
      <c r="O34" s="113"/>
      <c r="P34" s="74">
        <f t="shared" si="7"/>
        <v>736</v>
      </c>
      <c r="Q34" s="23"/>
      <c r="R34" s="23"/>
      <c r="S34" s="8">
        <f t="shared" si="13"/>
        <v>26</v>
      </c>
      <c r="T34" s="8">
        <f t="shared" si="8"/>
        <v>1</v>
      </c>
      <c r="U34" s="8">
        <f t="shared" si="9"/>
        <v>0</v>
      </c>
    </row>
    <row r="35" spans="1:21" ht="15.75" customHeight="1">
      <c r="A35" s="136">
        <f t="shared" si="0"/>
        <v>7300</v>
      </c>
      <c r="B35" s="137" t="str">
        <f t="shared" si="1"/>
        <v>Roofing</v>
      </c>
      <c r="C35" s="135">
        <f t="shared" si="2"/>
        <v>11584</v>
      </c>
      <c r="D35" s="113"/>
      <c r="E35" s="62">
        <f t="shared" si="3"/>
        <v>9850</v>
      </c>
      <c r="F35" s="62">
        <f t="shared" si="4"/>
        <v>0</v>
      </c>
      <c r="G35" s="58">
        <f t="shared" si="10"/>
        <v>9850</v>
      </c>
      <c r="H35" s="113"/>
      <c r="I35" s="150">
        <f t="shared" si="5"/>
        <v>9850</v>
      </c>
      <c r="J35" s="149">
        <f t="shared" si="11"/>
        <v>0</v>
      </c>
      <c r="K35" s="40"/>
      <c r="L35" s="58">
        <f t="shared" si="12"/>
        <v>9850</v>
      </c>
      <c r="M35" s="113"/>
      <c r="N35" s="71">
        <f t="shared" si="6"/>
        <v>0</v>
      </c>
      <c r="O35" s="113"/>
      <c r="P35" s="74">
        <f t="shared" si="7"/>
        <v>1734</v>
      </c>
      <c r="Q35" s="23"/>
      <c r="R35" s="23"/>
      <c r="S35" s="8">
        <f t="shared" si="13"/>
        <v>27</v>
      </c>
      <c r="T35" s="8">
        <f t="shared" si="8"/>
        <v>1</v>
      </c>
      <c r="U35" s="8">
        <f t="shared" si="9"/>
        <v>0</v>
      </c>
    </row>
    <row r="36" spans="1:21" ht="15.75" customHeight="1">
      <c r="A36" s="136">
        <f t="shared" si="0"/>
        <v>8100</v>
      </c>
      <c r="B36" s="137" t="str">
        <f t="shared" si="1"/>
        <v>Metal Doors &amp; Frames</v>
      </c>
      <c r="C36" s="135">
        <f t="shared" si="2"/>
        <v>9246</v>
      </c>
      <c r="D36" s="113"/>
      <c r="E36" s="62">
        <f t="shared" si="3"/>
        <v>7507</v>
      </c>
      <c r="F36" s="62">
        <f t="shared" si="4"/>
        <v>0</v>
      </c>
      <c r="G36" s="58">
        <f t="shared" si="10"/>
        <v>7507</v>
      </c>
      <c r="H36" s="113"/>
      <c r="I36" s="150">
        <f t="shared" si="5"/>
        <v>0</v>
      </c>
      <c r="J36" s="149">
        <f t="shared" si="11"/>
        <v>7507</v>
      </c>
      <c r="K36" s="40"/>
      <c r="L36" s="58">
        <f t="shared" si="12"/>
        <v>7507</v>
      </c>
      <c r="M36" s="113"/>
      <c r="N36" s="71">
        <f t="shared" si="6"/>
        <v>0</v>
      </c>
      <c r="O36" s="113"/>
      <c r="P36" s="74">
        <f t="shared" si="7"/>
        <v>1739</v>
      </c>
      <c r="Q36" s="23"/>
      <c r="R36" s="23"/>
      <c r="S36" s="8">
        <f t="shared" si="13"/>
        <v>28</v>
      </c>
      <c r="T36" s="8">
        <f t="shared" si="8"/>
        <v>1</v>
      </c>
      <c r="U36" s="8">
        <f t="shared" si="9"/>
        <v>0</v>
      </c>
    </row>
    <row r="37" spans="1:21" ht="15.75" customHeight="1">
      <c r="A37" s="136">
        <f t="shared" si="0"/>
        <v>8500</v>
      </c>
      <c r="B37" s="137" t="str">
        <f t="shared" si="1"/>
        <v>Windows</v>
      </c>
      <c r="C37" s="135">
        <f t="shared" si="2"/>
        <v>23310</v>
      </c>
      <c r="D37" s="113"/>
      <c r="E37" s="62">
        <f t="shared" si="3"/>
        <v>19821</v>
      </c>
      <c r="F37" s="62">
        <f t="shared" si="4"/>
        <v>0</v>
      </c>
      <c r="G37" s="58">
        <f t="shared" si="10"/>
        <v>19821</v>
      </c>
      <c r="H37" s="113"/>
      <c r="I37" s="150">
        <f t="shared" si="5"/>
        <v>0</v>
      </c>
      <c r="J37" s="149">
        <f t="shared" si="11"/>
        <v>19821</v>
      </c>
      <c r="K37" s="40"/>
      <c r="L37" s="58">
        <f t="shared" si="12"/>
        <v>19821</v>
      </c>
      <c r="M37" s="113"/>
      <c r="N37" s="71">
        <f t="shared" si="6"/>
        <v>0</v>
      </c>
      <c r="O37" s="113"/>
      <c r="P37" s="74">
        <f t="shared" si="7"/>
        <v>3489</v>
      </c>
      <c r="Q37" s="23"/>
      <c r="R37" s="23"/>
      <c r="S37" s="8">
        <f t="shared" si="13"/>
        <v>29</v>
      </c>
      <c r="T37" s="8">
        <f t="shared" si="8"/>
        <v>1</v>
      </c>
      <c r="U37" s="8">
        <f t="shared" si="9"/>
        <v>0</v>
      </c>
    </row>
    <row r="38" spans="1:21" ht="15.75" customHeight="1">
      <c r="A38" s="136">
        <f t="shared" si="0"/>
        <v>9000</v>
      </c>
      <c r="B38" s="137" t="str">
        <f t="shared" si="1"/>
        <v>FINISHES</v>
      </c>
      <c r="C38" s="135">
        <f t="shared" si="2"/>
        <v>0</v>
      </c>
      <c r="D38" s="113"/>
      <c r="E38" s="62">
        <f t="shared" si="3"/>
        <v>0</v>
      </c>
      <c r="F38" s="62">
        <f t="shared" si="4"/>
        <v>0</v>
      </c>
      <c r="G38" s="58">
        <f t="shared" si="10"/>
        <v>0</v>
      </c>
      <c r="H38" s="113"/>
      <c r="I38" s="150">
        <f t="shared" si="5"/>
        <v>9309</v>
      </c>
      <c r="J38" s="149">
        <f t="shared" si="11"/>
        <v>-9309</v>
      </c>
      <c r="K38" s="40"/>
      <c r="L38" s="58">
        <f t="shared" si="12"/>
        <v>9309</v>
      </c>
      <c r="M38" s="113"/>
      <c r="N38" s="71">
        <f t="shared" si="6"/>
        <v>-9309</v>
      </c>
      <c r="O38" s="113"/>
      <c r="P38" s="74">
        <f t="shared" si="7"/>
        <v>-9309</v>
      </c>
      <c r="Q38" s="23"/>
      <c r="R38" s="23"/>
      <c r="S38" s="8">
        <f t="shared" si="13"/>
        <v>30</v>
      </c>
      <c r="T38" s="8">
        <f t="shared" si="8"/>
        <v>1</v>
      </c>
      <c r="U38" s="8">
        <f t="shared" si="9"/>
        <v>0</v>
      </c>
    </row>
    <row r="39" spans="1:21" ht="15.75" customHeight="1">
      <c r="A39" s="136">
        <f t="shared" si="0"/>
        <v>9100</v>
      </c>
      <c r="B39" s="137" t="str">
        <f t="shared" si="1"/>
        <v>Stucco</v>
      </c>
      <c r="C39" s="135">
        <f t="shared" si="2"/>
        <v>16183</v>
      </c>
      <c r="D39" s="113"/>
      <c r="E39" s="62">
        <f t="shared" si="3"/>
        <v>13761</v>
      </c>
      <c r="F39" s="62">
        <f t="shared" si="4"/>
        <v>790</v>
      </c>
      <c r="G39" s="58">
        <f t="shared" si="10"/>
        <v>14551</v>
      </c>
      <c r="H39" s="113"/>
      <c r="I39" s="150">
        <f t="shared" si="5"/>
        <v>14551</v>
      </c>
      <c r="J39" s="149">
        <f t="shared" si="11"/>
        <v>0</v>
      </c>
      <c r="K39" s="40"/>
      <c r="L39" s="58">
        <f t="shared" si="12"/>
        <v>14551</v>
      </c>
      <c r="M39" s="113"/>
      <c r="N39" s="71">
        <f t="shared" si="6"/>
        <v>0</v>
      </c>
      <c r="O39" s="113"/>
      <c r="P39" s="74">
        <f t="shared" si="7"/>
        <v>1632</v>
      </c>
      <c r="Q39" s="23"/>
      <c r="R39" s="23"/>
      <c r="S39" s="8">
        <f t="shared" si="13"/>
        <v>31</v>
      </c>
      <c r="T39" s="8">
        <f t="shared" si="8"/>
        <v>1</v>
      </c>
      <c r="U39" s="8">
        <f t="shared" si="9"/>
        <v>0</v>
      </c>
    </row>
    <row r="40" spans="1:21" ht="15.75" customHeight="1">
      <c r="A40" s="136">
        <f t="shared" si="0"/>
        <v>9250</v>
      </c>
      <c r="B40" s="137" t="str">
        <f t="shared" si="1"/>
        <v>Gypsum Board</v>
      </c>
      <c r="C40" s="135">
        <f t="shared" si="2"/>
        <v>10948</v>
      </c>
      <c r="D40" s="113"/>
      <c r="E40" s="62">
        <f t="shared" si="3"/>
        <v>9309</v>
      </c>
      <c r="F40" s="62">
        <f t="shared" si="4"/>
        <v>0</v>
      </c>
      <c r="G40" s="58">
        <f t="shared" si="10"/>
        <v>9309</v>
      </c>
      <c r="H40" s="113"/>
      <c r="I40" s="150">
        <f t="shared" si="5"/>
        <v>0</v>
      </c>
      <c r="J40" s="149">
        <f t="shared" si="11"/>
        <v>9309</v>
      </c>
      <c r="K40" s="40"/>
      <c r="L40" s="58">
        <f t="shared" si="12"/>
        <v>9309</v>
      </c>
      <c r="M40" s="113"/>
      <c r="N40" s="71">
        <f t="shared" si="6"/>
        <v>0</v>
      </c>
      <c r="O40" s="113"/>
      <c r="P40" s="74">
        <f t="shared" si="7"/>
        <v>1639</v>
      </c>
      <c r="Q40" s="23"/>
      <c r="R40" s="23"/>
      <c r="S40" s="8">
        <f t="shared" si="13"/>
        <v>32</v>
      </c>
      <c r="T40" s="8">
        <f t="shared" si="8"/>
        <v>1</v>
      </c>
      <c r="U40" s="8">
        <f t="shared" si="9"/>
        <v>0</v>
      </c>
    </row>
    <row r="41" spans="1:21" ht="15.75" customHeight="1">
      <c r="A41" s="136">
        <f t="shared" si="0"/>
        <v>9300</v>
      </c>
      <c r="B41" s="137" t="str">
        <f t="shared" si="1"/>
        <v>Ceramic Tile</v>
      </c>
      <c r="C41" s="135">
        <f t="shared" si="2"/>
        <v>2052</v>
      </c>
      <c r="D41" s="113"/>
      <c r="E41" s="62">
        <f t="shared" si="3"/>
        <v>1745</v>
      </c>
      <c r="F41" s="62">
        <f t="shared" si="4"/>
        <v>50</v>
      </c>
      <c r="G41" s="58">
        <f t="shared" si="10"/>
        <v>1795</v>
      </c>
      <c r="H41" s="113"/>
      <c r="I41" s="150">
        <f t="shared" si="5"/>
        <v>1795</v>
      </c>
      <c r="J41" s="149">
        <f t="shared" si="11"/>
        <v>0</v>
      </c>
      <c r="K41" s="40"/>
      <c r="L41" s="58">
        <f t="shared" si="12"/>
        <v>1795</v>
      </c>
      <c r="M41" s="113"/>
      <c r="N41" s="71">
        <f t="shared" si="6"/>
        <v>0</v>
      </c>
      <c r="O41" s="113"/>
      <c r="P41" s="74">
        <f t="shared" si="7"/>
        <v>257</v>
      </c>
      <c r="Q41" s="23"/>
      <c r="R41" s="23"/>
      <c r="S41" s="8">
        <f t="shared" si="13"/>
        <v>33</v>
      </c>
      <c r="T41" s="8">
        <f t="shared" si="8"/>
        <v>1</v>
      </c>
      <c r="U41" s="8">
        <f t="shared" si="9"/>
        <v>0</v>
      </c>
    </row>
    <row r="42" spans="1:21" ht="15.75" customHeight="1">
      <c r="A42" s="136">
        <f t="shared" ref="A42:A73" si="14">+IF(T42=1,INDEX(CostData,$S42,1),"")</f>
        <v>9500</v>
      </c>
      <c r="B42" s="137" t="str">
        <f t="shared" ref="B42:B73" si="15">IF(T42=1,INDEX(CostData,$S42,2),"")</f>
        <v>Acoustical Treatment</v>
      </c>
      <c r="C42" s="135">
        <f t="shared" ref="C42:C73" si="16">IF(T42=1,INDEX(CostData,$S42,6)+(INDEX(CostData,$S42,7)*ParamIncludePrimeChanges),0)</f>
        <v>2882</v>
      </c>
      <c r="D42" s="113"/>
      <c r="E42" s="62">
        <f t="shared" ref="E42:E73" si="17">IF(T42=1,INDEX(CostData,$S42,3)+INDEX(CostData,$S42,4),0)</f>
        <v>2450</v>
      </c>
      <c r="F42" s="62">
        <f t="shared" ref="F42:F73" si="18">IF(T42=1,INDEX(CostData,$S42,5),0)</f>
        <v>0</v>
      </c>
      <c r="G42" s="58">
        <f t="shared" si="10"/>
        <v>2450</v>
      </c>
      <c r="H42" s="113"/>
      <c r="I42" s="150">
        <f t="shared" ref="I42:I73" si="19">IF(T42=1,INDEX(CostData,$S42,8),0)</f>
        <v>2450</v>
      </c>
      <c r="J42" s="149">
        <f t="shared" si="11"/>
        <v>0</v>
      </c>
      <c r="K42" s="40"/>
      <c r="L42" s="58">
        <f t="shared" si="12"/>
        <v>2450</v>
      </c>
      <c r="M42" s="113"/>
      <c r="N42" s="71">
        <f t="shared" ref="N42:N73" si="20">G42-L42</f>
        <v>0</v>
      </c>
      <c r="O42" s="113"/>
      <c r="P42" s="74">
        <f t="shared" ref="P42:P73" si="21">C42-L42</f>
        <v>432</v>
      </c>
      <c r="Q42" s="23"/>
      <c r="R42" s="23"/>
      <c r="S42" s="8">
        <f t="shared" si="13"/>
        <v>34</v>
      </c>
      <c r="T42" s="8">
        <f t="shared" ref="T42:T73" si="22">+IF(AND(INDEX(CostData,S42,1)&gt;0,ROUND(INDEX(CostData,S42,1),0)&lt;&gt;ParamCOCostCode),1,0)</f>
        <v>1</v>
      </c>
      <c r="U42" s="8">
        <f t="shared" ref="U42:U73" si="23">+IF(ROUND(INDEX(CostData,S42,1),0)=ParamCOCostCode,1,0)</f>
        <v>0</v>
      </c>
    </row>
    <row r="43" spans="1:21" ht="15.75" customHeight="1">
      <c r="A43" s="136">
        <f t="shared" si="14"/>
        <v>9900</v>
      </c>
      <c r="B43" s="137" t="str">
        <f t="shared" si="15"/>
        <v>Painting</v>
      </c>
      <c r="C43" s="135">
        <f t="shared" si="16"/>
        <v>10884</v>
      </c>
      <c r="D43" s="113"/>
      <c r="E43" s="62">
        <f t="shared" si="17"/>
        <v>9255</v>
      </c>
      <c r="F43" s="62">
        <f t="shared" si="18"/>
        <v>0</v>
      </c>
      <c r="G43" s="58">
        <f t="shared" si="10"/>
        <v>9255</v>
      </c>
      <c r="H43" s="113"/>
      <c r="I43" s="150">
        <f t="shared" si="19"/>
        <v>9255</v>
      </c>
      <c r="J43" s="149">
        <f t="shared" si="11"/>
        <v>0</v>
      </c>
      <c r="K43" s="40"/>
      <c r="L43" s="58">
        <f t="shared" si="12"/>
        <v>9255</v>
      </c>
      <c r="M43" s="113"/>
      <c r="N43" s="71">
        <f t="shared" si="20"/>
        <v>0</v>
      </c>
      <c r="O43" s="113"/>
      <c r="P43" s="74">
        <f t="shared" si="21"/>
        <v>1629</v>
      </c>
      <c r="Q43" s="23"/>
      <c r="R43" s="23"/>
      <c r="S43" s="8">
        <f t="shared" ref="S43:S74" si="24">+S42+1</f>
        <v>35</v>
      </c>
      <c r="T43" s="8">
        <f t="shared" si="22"/>
        <v>1</v>
      </c>
      <c r="U43" s="8">
        <f t="shared" si="23"/>
        <v>0</v>
      </c>
    </row>
    <row r="44" spans="1:21" ht="15.75" customHeight="1">
      <c r="A44" s="136">
        <f t="shared" si="14"/>
        <v>10300</v>
      </c>
      <c r="B44" s="137" t="str">
        <f t="shared" si="15"/>
        <v>Fireplaces &amp; Stoves</v>
      </c>
      <c r="C44" s="135">
        <f t="shared" si="16"/>
        <v>0</v>
      </c>
      <c r="D44" s="113"/>
      <c r="E44" s="62">
        <f t="shared" si="17"/>
        <v>0</v>
      </c>
      <c r="F44" s="62">
        <f t="shared" si="18"/>
        <v>0</v>
      </c>
      <c r="G44" s="58">
        <f t="shared" si="10"/>
        <v>0</v>
      </c>
      <c r="H44" s="113"/>
      <c r="I44" s="150">
        <f t="shared" si="19"/>
        <v>4180</v>
      </c>
      <c r="J44" s="149">
        <f t="shared" si="11"/>
        <v>-4180</v>
      </c>
      <c r="K44" s="40"/>
      <c r="L44" s="58">
        <f t="shared" si="12"/>
        <v>4180</v>
      </c>
      <c r="M44" s="113"/>
      <c r="N44" s="71">
        <f t="shared" si="20"/>
        <v>-4180</v>
      </c>
      <c r="O44" s="113"/>
      <c r="P44" s="74">
        <f t="shared" si="21"/>
        <v>-4180</v>
      </c>
      <c r="Q44" s="23"/>
      <c r="R44" s="23"/>
      <c r="S44" s="8">
        <f t="shared" si="24"/>
        <v>36</v>
      </c>
      <c r="T44" s="8">
        <f t="shared" si="22"/>
        <v>1</v>
      </c>
      <c r="U44" s="8">
        <f t="shared" si="23"/>
        <v>0</v>
      </c>
    </row>
    <row r="45" spans="1:21" ht="15.75" customHeight="1">
      <c r="A45" s="136">
        <f t="shared" si="14"/>
        <v>10800</v>
      </c>
      <c r="B45" s="137" t="str">
        <f t="shared" si="15"/>
        <v>Bath Accessories</v>
      </c>
      <c r="C45" s="135">
        <f t="shared" si="16"/>
        <v>907</v>
      </c>
      <c r="D45" s="113"/>
      <c r="E45" s="62">
        <f t="shared" si="17"/>
        <v>733</v>
      </c>
      <c r="F45" s="62">
        <f t="shared" si="18"/>
        <v>0</v>
      </c>
      <c r="G45" s="58">
        <f t="shared" si="10"/>
        <v>733</v>
      </c>
      <c r="H45" s="113"/>
      <c r="I45" s="150">
        <f t="shared" si="19"/>
        <v>786.68</v>
      </c>
      <c r="J45" s="149">
        <f t="shared" si="11"/>
        <v>-53.67999999999995</v>
      </c>
      <c r="K45" s="40"/>
      <c r="L45" s="58">
        <f t="shared" si="12"/>
        <v>786.68</v>
      </c>
      <c r="M45" s="113"/>
      <c r="N45" s="71">
        <f t="shared" si="20"/>
        <v>-53.67999999999995</v>
      </c>
      <c r="O45" s="113"/>
      <c r="P45" s="74">
        <f t="shared" si="21"/>
        <v>120.32000000000005</v>
      </c>
      <c r="Q45" s="23"/>
      <c r="R45" s="23"/>
      <c r="S45" s="8">
        <f t="shared" si="24"/>
        <v>37</v>
      </c>
      <c r="T45" s="8">
        <f t="shared" si="22"/>
        <v>1</v>
      </c>
      <c r="U45" s="8">
        <f t="shared" si="23"/>
        <v>0</v>
      </c>
    </row>
    <row r="46" spans="1:21" ht="15.75" customHeight="1">
      <c r="A46" s="136">
        <f t="shared" si="14"/>
        <v>15100</v>
      </c>
      <c r="B46" s="137" t="str">
        <f t="shared" si="15"/>
        <v>Plumbing</v>
      </c>
      <c r="C46" s="135">
        <f t="shared" si="16"/>
        <v>5955</v>
      </c>
      <c r="D46" s="113"/>
      <c r="E46" s="62">
        <f t="shared" si="17"/>
        <v>5063</v>
      </c>
      <c r="F46" s="62">
        <f t="shared" si="18"/>
        <v>-50</v>
      </c>
      <c r="G46" s="58">
        <f t="shared" si="10"/>
        <v>5013</v>
      </c>
      <c r="H46" s="113"/>
      <c r="I46" s="150">
        <f t="shared" si="19"/>
        <v>2909</v>
      </c>
      <c r="J46" s="149">
        <f t="shared" si="11"/>
        <v>2104</v>
      </c>
      <c r="K46" s="40"/>
      <c r="L46" s="58">
        <f t="shared" si="12"/>
        <v>5013</v>
      </c>
      <c r="M46" s="113"/>
      <c r="N46" s="71">
        <f t="shared" si="20"/>
        <v>0</v>
      </c>
      <c r="O46" s="113"/>
      <c r="P46" s="74">
        <f t="shared" si="21"/>
        <v>942</v>
      </c>
      <c r="Q46" s="23"/>
      <c r="R46" s="23"/>
      <c r="S46" s="8">
        <f t="shared" si="24"/>
        <v>38</v>
      </c>
      <c r="T46" s="8">
        <f t="shared" si="22"/>
        <v>1</v>
      </c>
      <c r="U46" s="8">
        <f t="shared" si="23"/>
        <v>0</v>
      </c>
    </row>
    <row r="47" spans="1:21" ht="15.75" customHeight="1">
      <c r="A47" s="136">
        <f t="shared" si="14"/>
        <v>15700</v>
      </c>
      <c r="B47" s="137" t="str">
        <f t="shared" si="15"/>
        <v>HVAC</v>
      </c>
      <c r="C47" s="135">
        <f t="shared" si="16"/>
        <v>22778</v>
      </c>
      <c r="D47" s="113"/>
      <c r="E47" s="62">
        <f t="shared" si="17"/>
        <v>19369</v>
      </c>
      <c r="F47" s="62">
        <f t="shared" si="18"/>
        <v>0</v>
      </c>
      <c r="G47" s="58">
        <f t="shared" si="10"/>
        <v>19369</v>
      </c>
      <c r="H47" s="113"/>
      <c r="I47" s="150">
        <f t="shared" si="19"/>
        <v>16444</v>
      </c>
      <c r="J47" s="149">
        <f t="shared" si="11"/>
        <v>2925</v>
      </c>
      <c r="K47" s="40"/>
      <c r="L47" s="58">
        <f t="shared" si="12"/>
        <v>19369</v>
      </c>
      <c r="M47" s="113"/>
      <c r="N47" s="71">
        <f t="shared" si="20"/>
        <v>0</v>
      </c>
      <c r="O47" s="113"/>
      <c r="P47" s="74">
        <f t="shared" si="21"/>
        <v>3409</v>
      </c>
      <c r="Q47" s="23"/>
      <c r="R47" s="23"/>
      <c r="S47" s="8">
        <f t="shared" si="24"/>
        <v>39</v>
      </c>
      <c r="T47" s="8">
        <f t="shared" si="22"/>
        <v>1</v>
      </c>
      <c r="U47" s="8">
        <f t="shared" si="23"/>
        <v>0</v>
      </c>
    </row>
    <row r="48" spans="1:21" ht="15.75" customHeight="1">
      <c r="A48" s="136">
        <f t="shared" si="14"/>
        <v>16000</v>
      </c>
      <c r="B48" s="137" t="str">
        <f t="shared" si="15"/>
        <v>ELECTRICAL</v>
      </c>
      <c r="C48" s="135">
        <f t="shared" si="16"/>
        <v>0</v>
      </c>
      <c r="D48" s="113"/>
      <c r="E48" s="62">
        <f t="shared" si="17"/>
        <v>0</v>
      </c>
      <c r="F48" s="62">
        <f t="shared" si="18"/>
        <v>0</v>
      </c>
      <c r="G48" s="58">
        <f t="shared" si="10"/>
        <v>0</v>
      </c>
      <c r="H48" s="113"/>
      <c r="I48" s="150">
        <f t="shared" si="19"/>
        <v>37928</v>
      </c>
      <c r="J48" s="149">
        <f t="shared" si="11"/>
        <v>-37928</v>
      </c>
      <c r="K48" s="40"/>
      <c r="L48" s="58">
        <f t="shared" si="12"/>
        <v>37928</v>
      </c>
      <c r="M48" s="113"/>
      <c r="N48" s="71">
        <f t="shared" si="20"/>
        <v>-37928</v>
      </c>
      <c r="O48" s="113"/>
      <c r="P48" s="74">
        <f t="shared" si="21"/>
        <v>-37928</v>
      </c>
      <c r="Q48" s="23"/>
      <c r="R48" s="23"/>
      <c r="S48" s="8">
        <f t="shared" si="24"/>
        <v>40</v>
      </c>
      <c r="T48" s="8">
        <f t="shared" si="22"/>
        <v>1</v>
      </c>
      <c r="U48" s="8">
        <f t="shared" si="23"/>
        <v>0</v>
      </c>
    </row>
    <row r="49" spans="1:21" ht="15.75" customHeight="1" thickBot="1">
      <c r="A49" s="136">
        <f t="shared" si="14"/>
        <v>16100</v>
      </c>
      <c r="B49" s="137" t="str">
        <f t="shared" si="15"/>
        <v>Electrical Wiring</v>
      </c>
      <c r="C49" s="135">
        <f t="shared" si="16"/>
        <v>60326</v>
      </c>
      <c r="D49" s="113"/>
      <c r="E49" s="62">
        <f t="shared" si="17"/>
        <v>50416</v>
      </c>
      <c r="F49" s="62">
        <f t="shared" si="18"/>
        <v>0</v>
      </c>
      <c r="G49" s="58">
        <f t="shared" si="10"/>
        <v>50416</v>
      </c>
      <c r="H49" s="113"/>
      <c r="I49" s="150">
        <f t="shared" si="19"/>
        <v>12618.35</v>
      </c>
      <c r="J49" s="149">
        <f t="shared" si="11"/>
        <v>37797.65</v>
      </c>
      <c r="K49" s="40"/>
      <c r="L49" s="58">
        <f t="shared" si="12"/>
        <v>50416</v>
      </c>
      <c r="M49" s="113"/>
      <c r="N49" s="71">
        <f t="shared" si="20"/>
        <v>0</v>
      </c>
      <c r="O49" s="113"/>
      <c r="P49" s="74">
        <f t="shared" si="21"/>
        <v>9910</v>
      </c>
      <c r="Q49" s="23"/>
      <c r="R49" s="23"/>
      <c r="S49" s="8">
        <f t="shared" si="24"/>
        <v>41</v>
      </c>
      <c r="T49" s="8">
        <f t="shared" si="22"/>
        <v>1</v>
      </c>
      <c r="U49" s="8">
        <f t="shared" si="23"/>
        <v>0</v>
      </c>
    </row>
    <row r="50" spans="1:21" ht="15.75" hidden="1" customHeight="1">
      <c r="A50" s="136" t="str">
        <f t="shared" si="14"/>
        <v/>
      </c>
      <c r="B50" s="137" t="str">
        <f t="shared" si="15"/>
        <v/>
      </c>
      <c r="C50" s="135">
        <f t="shared" si="16"/>
        <v>0</v>
      </c>
      <c r="D50" s="113"/>
      <c r="E50" s="62">
        <f t="shared" si="17"/>
        <v>0</v>
      </c>
      <c r="F50" s="62">
        <f t="shared" si="18"/>
        <v>0</v>
      </c>
      <c r="G50" s="58">
        <f t="shared" si="10"/>
        <v>0</v>
      </c>
      <c r="H50" s="113"/>
      <c r="I50" s="150">
        <f t="shared" si="19"/>
        <v>0</v>
      </c>
      <c r="J50" s="149">
        <f t="shared" si="11"/>
        <v>0</v>
      </c>
      <c r="K50" s="40"/>
      <c r="L50" s="58">
        <f t="shared" si="12"/>
        <v>0</v>
      </c>
      <c r="M50" s="113"/>
      <c r="N50" s="71">
        <f t="shared" si="20"/>
        <v>0</v>
      </c>
      <c r="O50" s="113"/>
      <c r="P50" s="74">
        <f t="shared" si="21"/>
        <v>0</v>
      </c>
      <c r="Q50" s="23"/>
      <c r="R50" s="23"/>
      <c r="S50" s="8">
        <f t="shared" si="24"/>
        <v>42</v>
      </c>
      <c r="T50" s="8">
        <f t="shared" si="22"/>
        <v>0</v>
      </c>
      <c r="U50" s="8">
        <f t="shared" si="23"/>
        <v>0</v>
      </c>
    </row>
    <row r="51" spans="1:21" ht="15.75" hidden="1" customHeight="1">
      <c r="A51" s="136" t="str">
        <f t="shared" si="14"/>
        <v/>
      </c>
      <c r="B51" s="137" t="str">
        <f t="shared" si="15"/>
        <v/>
      </c>
      <c r="C51" s="135">
        <f t="shared" si="16"/>
        <v>0</v>
      </c>
      <c r="D51" s="113"/>
      <c r="E51" s="62">
        <f t="shared" si="17"/>
        <v>0</v>
      </c>
      <c r="F51" s="62">
        <f t="shared" si="18"/>
        <v>0</v>
      </c>
      <c r="G51" s="58">
        <f t="shared" si="10"/>
        <v>0</v>
      </c>
      <c r="H51" s="113"/>
      <c r="I51" s="150">
        <f t="shared" si="19"/>
        <v>0</v>
      </c>
      <c r="J51" s="149">
        <f t="shared" si="11"/>
        <v>0</v>
      </c>
      <c r="K51" s="40"/>
      <c r="L51" s="58">
        <f t="shared" si="12"/>
        <v>0</v>
      </c>
      <c r="M51" s="113"/>
      <c r="N51" s="71">
        <f t="shared" si="20"/>
        <v>0</v>
      </c>
      <c r="O51" s="113"/>
      <c r="P51" s="74">
        <f t="shared" si="21"/>
        <v>0</v>
      </c>
      <c r="Q51" s="23"/>
      <c r="R51" s="23"/>
      <c r="S51" s="8">
        <f t="shared" si="24"/>
        <v>43</v>
      </c>
      <c r="T51" s="8">
        <f t="shared" si="22"/>
        <v>0</v>
      </c>
      <c r="U51" s="8">
        <f t="shared" si="23"/>
        <v>0</v>
      </c>
    </row>
    <row r="52" spans="1:21" ht="15.75" hidden="1" customHeight="1">
      <c r="A52" s="136" t="str">
        <f t="shared" si="14"/>
        <v/>
      </c>
      <c r="B52" s="137" t="str">
        <f t="shared" si="15"/>
        <v/>
      </c>
      <c r="C52" s="135">
        <f t="shared" si="16"/>
        <v>0</v>
      </c>
      <c r="D52" s="113"/>
      <c r="E52" s="62">
        <f t="shared" si="17"/>
        <v>0</v>
      </c>
      <c r="F52" s="62">
        <f t="shared" si="18"/>
        <v>0</v>
      </c>
      <c r="G52" s="58">
        <f t="shared" si="10"/>
        <v>0</v>
      </c>
      <c r="H52" s="113"/>
      <c r="I52" s="150">
        <f t="shared" si="19"/>
        <v>0</v>
      </c>
      <c r="J52" s="149">
        <f t="shared" si="11"/>
        <v>0</v>
      </c>
      <c r="K52" s="40"/>
      <c r="L52" s="58">
        <f t="shared" si="12"/>
        <v>0</v>
      </c>
      <c r="M52" s="113"/>
      <c r="N52" s="71">
        <f t="shared" si="20"/>
        <v>0</v>
      </c>
      <c r="O52" s="113"/>
      <c r="P52" s="74">
        <f t="shared" si="21"/>
        <v>0</v>
      </c>
      <c r="Q52" s="23"/>
      <c r="R52" s="23"/>
      <c r="S52" s="8">
        <f t="shared" si="24"/>
        <v>44</v>
      </c>
      <c r="T52" s="8">
        <f t="shared" si="22"/>
        <v>0</v>
      </c>
      <c r="U52" s="8">
        <f t="shared" si="23"/>
        <v>0</v>
      </c>
    </row>
    <row r="53" spans="1:21" ht="15.75" hidden="1" customHeight="1">
      <c r="A53" s="136" t="str">
        <f t="shared" si="14"/>
        <v/>
      </c>
      <c r="B53" s="137" t="str">
        <f t="shared" si="15"/>
        <v/>
      </c>
      <c r="C53" s="135">
        <f t="shared" si="16"/>
        <v>0</v>
      </c>
      <c r="D53" s="113"/>
      <c r="E53" s="62">
        <f t="shared" si="17"/>
        <v>0</v>
      </c>
      <c r="F53" s="62">
        <f t="shared" si="18"/>
        <v>0</v>
      </c>
      <c r="G53" s="58">
        <f t="shared" si="10"/>
        <v>0</v>
      </c>
      <c r="H53" s="113"/>
      <c r="I53" s="150">
        <f t="shared" si="19"/>
        <v>0</v>
      </c>
      <c r="J53" s="149">
        <f t="shared" si="11"/>
        <v>0</v>
      </c>
      <c r="K53" s="40"/>
      <c r="L53" s="58">
        <f t="shared" si="12"/>
        <v>0</v>
      </c>
      <c r="M53" s="113"/>
      <c r="N53" s="71">
        <f t="shared" si="20"/>
        <v>0</v>
      </c>
      <c r="O53" s="113"/>
      <c r="P53" s="74">
        <f t="shared" si="21"/>
        <v>0</v>
      </c>
      <c r="Q53" s="23"/>
      <c r="R53" s="23"/>
      <c r="S53" s="8">
        <f t="shared" si="24"/>
        <v>45</v>
      </c>
      <c r="T53" s="8">
        <f t="shared" si="22"/>
        <v>0</v>
      </c>
      <c r="U53" s="8">
        <f t="shared" si="23"/>
        <v>0</v>
      </c>
    </row>
    <row r="54" spans="1:21" ht="15.75" hidden="1" customHeight="1">
      <c r="A54" s="136" t="str">
        <f t="shared" si="14"/>
        <v/>
      </c>
      <c r="B54" s="137" t="str">
        <f t="shared" si="15"/>
        <v/>
      </c>
      <c r="C54" s="135">
        <f t="shared" si="16"/>
        <v>0</v>
      </c>
      <c r="D54" s="113"/>
      <c r="E54" s="62">
        <f t="shared" si="17"/>
        <v>0</v>
      </c>
      <c r="F54" s="62">
        <f t="shared" si="18"/>
        <v>0</v>
      </c>
      <c r="G54" s="58">
        <f t="shared" si="10"/>
        <v>0</v>
      </c>
      <c r="H54" s="113"/>
      <c r="I54" s="150">
        <f t="shared" si="19"/>
        <v>0</v>
      </c>
      <c r="J54" s="149">
        <f t="shared" si="11"/>
        <v>0</v>
      </c>
      <c r="K54" s="40"/>
      <c r="L54" s="58">
        <f t="shared" si="12"/>
        <v>0</v>
      </c>
      <c r="M54" s="113"/>
      <c r="N54" s="71">
        <f t="shared" si="20"/>
        <v>0</v>
      </c>
      <c r="O54" s="113"/>
      <c r="P54" s="74">
        <f t="shared" si="21"/>
        <v>0</v>
      </c>
      <c r="Q54" s="23"/>
      <c r="R54" s="23"/>
      <c r="S54" s="8">
        <f t="shared" si="24"/>
        <v>46</v>
      </c>
      <c r="T54" s="8">
        <f t="shared" si="22"/>
        <v>0</v>
      </c>
      <c r="U54" s="8">
        <f t="shared" si="23"/>
        <v>0</v>
      </c>
    </row>
    <row r="55" spans="1:21" ht="15.75" hidden="1" customHeight="1">
      <c r="A55" s="136" t="str">
        <f t="shared" si="14"/>
        <v/>
      </c>
      <c r="B55" s="137" t="str">
        <f t="shared" si="15"/>
        <v/>
      </c>
      <c r="C55" s="135">
        <f t="shared" si="16"/>
        <v>0</v>
      </c>
      <c r="D55" s="113"/>
      <c r="E55" s="62">
        <f t="shared" si="17"/>
        <v>0</v>
      </c>
      <c r="F55" s="62">
        <f t="shared" si="18"/>
        <v>0</v>
      </c>
      <c r="G55" s="58">
        <f t="shared" si="10"/>
        <v>0</v>
      </c>
      <c r="H55" s="113"/>
      <c r="I55" s="150">
        <f t="shared" si="19"/>
        <v>0</v>
      </c>
      <c r="J55" s="149">
        <f t="shared" si="11"/>
        <v>0</v>
      </c>
      <c r="K55" s="40"/>
      <c r="L55" s="58">
        <f t="shared" si="12"/>
        <v>0</v>
      </c>
      <c r="M55" s="113"/>
      <c r="N55" s="71">
        <f t="shared" si="20"/>
        <v>0</v>
      </c>
      <c r="O55" s="113"/>
      <c r="P55" s="74">
        <f t="shared" si="21"/>
        <v>0</v>
      </c>
      <c r="Q55" s="23"/>
      <c r="R55" s="23"/>
      <c r="S55" s="8">
        <f t="shared" si="24"/>
        <v>47</v>
      </c>
      <c r="T55" s="8">
        <f t="shared" si="22"/>
        <v>0</v>
      </c>
      <c r="U55" s="8">
        <f t="shared" si="23"/>
        <v>0</v>
      </c>
    </row>
    <row r="56" spans="1:21" ht="15.75" hidden="1" customHeight="1">
      <c r="A56" s="136" t="str">
        <f t="shared" si="14"/>
        <v/>
      </c>
      <c r="B56" s="137" t="str">
        <f t="shared" si="15"/>
        <v/>
      </c>
      <c r="C56" s="135">
        <f t="shared" si="16"/>
        <v>0</v>
      </c>
      <c r="D56" s="113"/>
      <c r="E56" s="62">
        <f t="shared" si="17"/>
        <v>0</v>
      </c>
      <c r="F56" s="62">
        <f t="shared" si="18"/>
        <v>0</v>
      </c>
      <c r="G56" s="58">
        <f t="shared" si="10"/>
        <v>0</v>
      </c>
      <c r="H56" s="113"/>
      <c r="I56" s="150">
        <f t="shared" si="19"/>
        <v>0</v>
      </c>
      <c r="J56" s="149">
        <f t="shared" si="11"/>
        <v>0</v>
      </c>
      <c r="K56" s="40"/>
      <c r="L56" s="58">
        <f t="shared" si="12"/>
        <v>0</v>
      </c>
      <c r="M56" s="113"/>
      <c r="N56" s="71">
        <f t="shared" si="20"/>
        <v>0</v>
      </c>
      <c r="O56" s="113"/>
      <c r="P56" s="74">
        <f t="shared" si="21"/>
        <v>0</v>
      </c>
      <c r="Q56" s="23"/>
      <c r="R56" s="23"/>
      <c r="S56" s="8">
        <f t="shared" si="24"/>
        <v>48</v>
      </c>
      <c r="T56" s="8">
        <f t="shared" si="22"/>
        <v>0</v>
      </c>
      <c r="U56" s="8">
        <f t="shared" si="23"/>
        <v>0</v>
      </c>
    </row>
    <row r="57" spans="1:21" ht="15.75" hidden="1" customHeight="1">
      <c r="A57" s="136" t="str">
        <f t="shared" si="14"/>
        <v/>
      </c>
      <c r="B57" s="137" t="str">
        <f t="shared" si="15"/>
        <v/>
      </c>
      <c r="C57" s="135">
        <f t="shared" si="16"/>
        <v>0</v>
      </c>
      <c r="D57" s="113"/>
      <c r="E57" s="62">
        <f t="shared" si="17"/>
        <v>0</v>
      </c>
      <c r="F57" s="62">
        <f t="shared" si="18"/>
        <v>0</v>
      </c>
      <c r="G57" s="58">
        <f t="shared" si="10"/>
        <v>0</v>
      </c>
      <c r="H57" s="113"/>
      <c r="I57" s="150">
        <f t="shared" si="19"/>
        <v>0</v>
      </c>
      <c r="J57" s="149">
        <f t="shared" si="11"/>
        <v>0</v>
      </c>
      <c r="K57" s="40"/>
      <c r="L57" s="58">
        <f t="shared" si="12"/>
        <v>0</v>
      </c>
      <c r="M57" s="113"/>
      <c r="N57" s="71">
        <f t="shared" si="20"/>
        <v>0</v>
      </c>
      <c r="O57" s="113"/>
      <c r="P57" s="74">
        <f t="shared" si="21"/>
        <v>0</v>
      </c>
      <c r="Q57" s="23"/>
      <c r="R57" s="23"/>
      <c r="S57" s="8">
        <f t="shared" si="24"/>
        <v>49</v>
      </c>
      <c r="T57" s="8">
        <f t="shared" si="22"/>
        <v>0</v>
      </c>
      <c r="U57" s="8">
        <f t="shared" si="23"/>
        <v>0</v>
      </c>
    </row>
    <row r="58" spans="1:21" ht="15.75" hidden="1" customHeight="1">
      <c r="A58" s="136" t="str">
        <f t="shared" si="14"/>
        <v/>
      </c>
      <c r="B58" s="137" t="str">
        <f t="shared" si="15"/>
        <v/>
      </c>
      <c r="C58" s="135">
        <f t="shared" si="16"/>
        <v>0</v>
      </c>
      <c r="D58" s="113"/>
      <c r="E58" s="62">
        <f t="shared" si="17"/>
        <v>0</v>
      </c>
      <c r="F58" s="62">
        <f t="shared" si="18"/>
        <v>0</v>
      </c>
      <c r="G58" s="58">
        <f t="shared" si="10"/>
        <v>0</v>
      </c>
      <c r="H58" s="113"/>
      <c r="I58" s="150">
        <f t="shared" si="19"/>
        <v>0</v>
      </c>
      <c r="J58" s="149">
        <f t="shared" si="11"/>
        <v>0</v>
      </c>
      <c r="K58" s="40"/>
      <c r="L58" s="58">
        <f t="shared" si="12"/>
        <v>0</v>
      </c>
      <c r="M58" s="113"/>
      <c r="N58" s="71">
        <f t="shared" si="20"/>
        <v>0</v>
      </c>
      <c r="O58" s="113"/>
      <c r="P58" s="74">
        <f t="shared" si="21"/>
        <v>0</v>
      </c>
      <c r="Q58" s="23"/>
      <c r="R58" s="23"/>
      <c r="S58" s="8">
        <f t="shared" si="24"/>
        <v>50</v>
      </c>
      <c r="T58" s="8">
        <f t="shared" si="22"/>
        <v>0</v>
      </c>
      <c r="U58" s="8">
        <f t="shared" si="23"/>
        <v>0</v>
      </c>
    </row>
    <row r="59" spans="1:21" ht="15.75" hidden="1" customHeight="1">
      <c r="A59" s="136" t="str">
        <f t="shared" si="14"/>
        <v/>
      </c>
      <c r="B59" s="137" t="str">
        <f t="shared" si="15"/>
        <v/>
      </c>
      <c r="C59" s="135">
        <f t="shared" si="16"/>
        <v>0</v>
      </c>
      <c r="D59" s="113"/>
      <c r="E59" s="62">
        <f t="shared" si="17"/>
        <v>0</v>
      </c>
      <c r="F59" s="62">
        <f t="shared" si="18"/>
        <v>0</v>
      </c>
      <c r="G59" s="58">
        <f t="shared" si="10"/>
        <v>0</v>
      </c>
      <c r="H59" s="113"/>
      <c r="I59" s="150">
        <f t="shared" si="19"/>
        <v>0</v>
      </c>
      <c r="J59" s="149">
        <f t="shared" si="11"/>
        <v>0</v>
      </c>
      <c r="K59" s="40"/>
      <c r="L59" s="58">
        <f t="shared" si="12"/>
        <v>0</v>
      </c>
      <c r="M59" s="113"/>
      <c r="N59" s="71">
        <f t="shared" si="20"/>
        <v>0</v>
      </c>
      <c r="O59" s="113"/>
      <c r="P59" s="74">
        <f t="shared" si="21"/>
        <v>0</v>
      </c>
      <c r="Q59" s="23"/>
      <c r="R59" s="23"/>
      <c r="S59" s="8">
        <f t="shared" si="24"/>
        <v>51</v>
      </c>
      <c r="T59" s="8">
        <f t="shared" si="22"/>
        <v>0</v>
      </c>
      <c r="U59" s="8">
        <f t="shared" si="23"/>
        <v>0</v>
      </c>
    </row>
    <row r="60" spans="1:21" ht="15.75" hidden="1" customHeight="1">
      <c r="A60" s="136" t="str">
        <f t="shared" si="14"/>
        <v/>
      </c>
      <c r="B60" s="137" t="str">
        <f t="shared" si="15"/>
        <v/>
      </c>
      <c r="C60" s="135">
        <f t="shared" si="16"/>
        <v>0</v>
      </c>
      <c r="D60" s="113"/>
      <c r="E60" s="62">
        <f t="shared" si="17"/>
        <v>0</v>
      </c>
      <c r="F60" s="62">
        <f t="shared" si="18"/>
        <v>0</v>
      </c>
      <c r="G60" s="58">
        <f t="shared" si="10"/>
        <v>0</v>
      </c>
      <c r="H60" s="113"/>
      <c r="I60" s="150">
        <f t="shared" si="19"/>
        <v>0</v>
      </c>
      <c r="J60" s="149">
        <f t="shared" si="11"/>
        <v>0</v>
      </c>
      <c r="K60" s="40"/>
      <c r="L60" s="58">
        <f t="shared" si="12"/>
        <v>0</v>
      </c>
      <c r="M60" s="113"/>
      <c r="N60" s="71">
        <f t="shared" si="20"/>
        <v>0</v>
      </c>
      <c r="O60" s="113"/>
      <c r="P60" s="74">
        <f t="shared" si="21"/>
        <v>0</v>
      </c>
      <c r="Q60" s="23"/>
      <c r="R60" s="23"/>
      <c r="S60" s="8">
        <f t="shared" si="24"/>
        <v>52</v>
      </c>
      <c r="T60" s="8">
        <f t="shared" si="22"/>
        <v>0</v>
      </c>
      <c r="U60" s="8">
        <f t="shared" si="23"/>
        <v>0</v>
      </c>
    </row>
    <row r="61" spans="1:21" ht="15.75" hidden="1" customHeight="1">
      <c r="A61" s="136" t="str">
        <f t="shared" si="14"/>
        <v/>
      </c>
      <c r="B61" s="137" t="str">
        <f t="shared" si="15"/>
        <v/>
      </c>
      <c r="C61" s="135">
        <f t="shared" si="16"/>
        <v>0</v>
      </c>
      <c r="D61" s="113"/>
      <c r="E61" s="62">
        <f t="shared" si="17"/>
        <v>0</v>
      </c>
      <c r="F61" s="62">
        <f t="shared" si="18"/>
        <v>0</v>
      </c>
      <c r="G61" s="58">
        <f t="shared" si="10"/>
        <v>0</v>
      </c>
      <c r="H61" s="113"/>
      <c r="I61" s="150">
        <f t="shared" si="19"/>
        <v>0</v>
      </c>
      <c r="J61" s="149">
        <f t="shared" si="11"/>
        <v>0</v>
      </c>
      <c r="K61" s="40"/>
      <c r="L61" s="58">
        <f t="shared" si="12"/>
        <v>0</v>
      </c>
      <c r="M61" s="113"/>
      <c r="N61" s="71">
        <f t="shared" si="20"/>
        <v>0</v>
      </c>
      <c r="O61" s="113"/>
      <c r="P61" s="74">
        <f t="shared" si="21"/>
        <v>0</v>
      </c>
      <c r="Q61" s="23"/>
      <c r="R61" s="23"/>
      <c r="S61" s="8">
        <f t="shared" si="24"/>
        <v>53</v>
      </c>
      <c r="T61" s="8">
        <f t="shared" si="22"/>
        <v>0</v>
      </c>
      <c r="U61" s="8">
        <f t="shared" si="23"/>
        <v>0</v>
      </c>
    </row>
    <row r="62" spans="1:21" ht="15.75" hidden="1" customHeight="1">
      <c r="A62" s="136" t="str">
        <f t="shared" si="14"/>
        <v/>
      </c>
      <c r="B62" s="137" t="str">
        <f t="shared" si="15"/>
        <v/>
      </c>
      <c r="C62" s="135">
        <f t="shared" si="16"/>
        <v>0</v>
      </c>
      <c r="D62" s="113"/>
      <c r="E62" s="62">
        <f t="shared" si="17"/>
        <v>0</v>
      </c>
      <c r="F62" s="62">
        <f t="shared" si="18"/>
        <v>0</v>
      </c>
      <c r="G62" s="58">
        <f t="shared" si="10"/>
        <v>0</v>
      </c>
      <c r="H62" s="113"/>
      <c r="I62" s="150">
        <f t="shared" si="19"/>
        <v>0</v>
      </c>
      <c r="J62" s="149">
        <f t="shared" si="11"/>
        <v>0</v>
      </c>
      <c r="K62" s="40"/>
      <c r="L62" s="58">
        <f t="shared" si="12"/>
        <v>0</v>
      </c>
      <c r="M62" s="113"/>
      <c r="N62" s="71">
        <f t="shared" si="20"/>
        <v>0</v>
      </c>
      <c r="O62" s="113"/>
      <c r="P62" s="74">
        <f t="shared" si="21"/>
        <v>0</v>
      </c>
      <c r="Q62" s="23"/>
      <c r="R62" s="23"/>
      <c r="S62" s="8">
        <f t="shared" si="24"/>
        <v>54</v>
      </c>
      <c r="T62" s="8">
        <f t="shared" si="22"/>
        <v>0</v>
      </c>
      <c r="U62" s="8">
        <f t="shared" si="23"/>
        <v>0</v>
      </c>
    </row>
    <row r="63" spans="1:21" ht="15.75" hidden="1" customHeight="1">
      <c r="A63" s="136" t="str">
        <f t="shared" si="14"/>
        <v/>
      </c>
      <c r="B63" s="137" t="str">
        <f t="shared" si="15"/>
        <v/>
      </c>
      <c r="C63" s="135">
        <f t="shared" si="16"/>
        <v>0</v>
      </c>
      <c r="D63" s="113"/>
      <c r="E63" s="62">
        <f t="shared" si="17"/>
        <v>0</v>
      </c>
      <c r="F63" s="62">
        <f t="shared" si="18"/>
        <v>0</v>
      </c>
      <c r="G63" s="58">
        <f t="shared" si="10"/>
        <v>0</v>
      </c>
      <c r="H63" s="113"/>
      <c r="I63" s="150">
        <f t="shared" si="19"/>
        <v>0</v>
      </c>
      <c r="J63" s="149">
        <f t="shared" si="11"/>
        <v>0</v>
      </c>
      <c r="K63" s="40"/>
      <c r="L63" s="58">
        <f t="shared" si="12"/>
        <v>0</v>
      </c>
      <c r="M63" s="113"/>
      <c r="N63" s="71">
        <f t="shared" si="20"/>
        <v>0</v>
      </c>
      <c r="O63" s="113"/>
      <c r="P63" s="74">
        <f t="shared" si="21"/>
        <v>0</v>
      </c>
      <c r="Q63" s="23"/>
      <c r="R63" s="23"/>
      <c r="S63" s="8">
        <f t="shared" si="24"/>
        <v>55</v>
      </c>
      <c r="T63" s="8">
        <f t="shared" si="22"/>
        <v>0</v>
      </c>
      <c r="U63" s="8">
        <f t="shared" si="23"/>
        <v>0</v>
      </c>
    </row>
    <row r="64" spans="1:21" ht="15.75" hidden="1" customHeight="1">
      <c r="A64" s="136" t="str">
        <f t="shared" si="14"/>
        <v/>
      </c>
      <c r="B64" s="137" t="str">
        <f t="shared" si="15"/>
        <v/>
      </c>
      <c r="C64" s="135">
        <f t="shared" si="16"/>
        <v>0</v>
      </c>
      <c r="D64" s="113"/>
      <c r="E64" s="62">
        <f t="shared" si="17"/>
        <v>0</v>
      </c>
      <c r="F64" s="62">
        <f t="shared" si="18"/>
        <v>0</v>
      </c>
      <c r="G64" s="58">
        <f t="shared" si="10"/>
        <v>0</v>
      </c>
      <c r="H64" s="113"/>
      <c r="I64" s="150">
        <f t="shared" si="19"/>
        <v>0</v>
      </c>
      <c r="J64" s="149">
        <f t="shared" si="11"/>
        <v>0</v>
      </c>
      <c r="K64" s="40"/>
      <c r="L64" s="58">
        <f t="shared" si="12"/>
        <v>0</v>
      </c>
      <c r="M64" s="113"/>
      <c r="N64" s="71">
        <f t="shared" si="20"/>
        <v>0</v>
      </c>
      <c r="O64" s="113"/>
      <c r="P64" s="74">
        <f t="shared" si="21"/>
        <v>0</v>
      </c>
      <c r="Q64" s="23"/>
      <c r="R64" s="23"/>
      <c r="S64" s="8">
        <f t="shared" si="24"/>
        <v>56</v>
      </c>
      <c r="T64" s="8">
        <f t="shared" si="22"/>
        <v>0</v>
      </c>
      <c r="U64" s="8">
        <f t="shared" si="23"/>
        <v>0</v>
      </c>
    </row>
    <row r="65" spans="1:21" ht="15.75" hidden="1" customHeight="1">
      <c r="A65" s="136" t="str">
        <f t="shared" si="14"/>
        <v/>
      </c>
      <c r="B65" s="137" t="str">
        <f t="shared" si="15"/>
        <v/>
      </c>
      <c r="C65" s="135">
        <f t="shared" si="16"/>
        <v>0</v>
      </c>
      <c r="D65" s="113"/>
      <c r="E65" s="62">
        <f t="shared" si="17"/>
        <v>0</v>
      </c>
      <c r="F65" s="62">
        <f t="shared" si="18"/>
        <v>0</v>
      </c>
      <c r="G65" s="58">
        <f t="shared" si="10"/>
        <v>0</v>
      </c>
      <c r="H65" s="113"/>
      <c r="I65" s="150">
        <f t="shared" si="19"/>
        <v>0</v>
      </c>
      <c r="J65" s="149">
        <f t="shared" si="11"/>
        <v>0</v>
      </c>
      <c r="K65" s="40"/>
      <c r="L65" s="58">
        <f t="shared" si="12"/>
        <v>0</v>
      </c>
      <c r="M65" s="113"/>
      <c r="N65" s="71">
        <f t="shared" si="20"/>
        <v>0</v>
      </c>
      <c r="O65" s="113"/>
      <c r="P65" s="74">
        <f t="shared" si="21"/>
        <v>0</v>
      </c>
      <c r="Q65" s="23"/>
      <c r="R65" s="23"/>
      <c r="S65" s="8">
        <f t="shared" si="24"/>
        <v>57</v>
      </c>
      <c r="T65" s="8">
        <f t="shared" si="22"/>
        <v>0</v>
      </c>
      <c r="U65" s="8">
        <f t="shared" si="23"/>
        <v>0</v>
      </c>
    </row>
    <row r="66" spans="1:21" ht="15.75" hidden="1" customHeight="1">
      <c r="A66" s="136" t="str">
        <f t="shared" si="14"/>
        <v/>
      </c>
      <c r="B66" s="137" t="str">
        <f t="shared" si="15"/>
        <v/>
      </c>
      <c r="C66" s="135">
        <f t="shared" si="16"/>
        <v>0</v>
      </c>
      <c r="D66" s="113"/>
      <c r="E66" s="62">
        <f t="shared" si="17"/>
        <v>0</v>
      </c>
      <c r="F66" s="62">
        <f t="shared" si="18"/>
        <v>0</v>
      </c>
      <c r="G66" s="58">
        <f t="shared" si="10"/>
        <v>0</v>
      </c>
      <c r="H66" s="113"/>
      <c r="I66" s="150">
        <f t="shared" si="19"/>
        <v>0</v>
      </c>
      <c r="J66" s="149">
        <f t="shared" si="11"/>
        <v>0</v>
      </c>
      <c r="K66" s="40"/>
      <c r="L66" s="58">
        <f t="shared" si="12"/>
        <v>0</v>
      </c>
      <c r="M66" s="113"/>
      <c r="N66" s="71">
        <f t="shared" si="20"/>
        <v>0</v>
      </c>
      <c r="O66" s="113"/>
      <c r="P66" s="74">
        <f t="shared" si="21"/>
        <v>0</v>
      </c>
      <c r="Q66" s="23"/>
      <c r="R66" s="23"/>
      <c r="S66" s="8">
        <f t="shared" si="24"/>
        <v>58</v>
      </c>
      <c r="T66" s="8">
        <f t="shared" si="22"/>
        <v>0</v>
      </c>
      <c r="U66" s="8">
        <f t="shared" si="23"/>
        <v>0</v>
      </c>
    </row>
    <row r="67" spans="1:21" ht="15.75" hidden="1" customHeight="1">
      <c r="A67" s="136" t="str">
        <f t="shared" si="14"/>
        <v/>
      </c>
      <c r="B67" s="137" t="str">
        <f t="shared" si="15"/>
        <v/>
      </c>
      <c r="C67" s="135">
        <f t="shared" si="16"/>
        <v>0</v>
      </c>
      <c r="D67" s="113"/>
      <c r="E67" s="62">
        <f t="shared" si="17"/>
        <v>0</v>
      </c>
      <c r="F67" s="62">
        <f t="shared" si="18"/>
        <v>0</v>
      </c>
      <c r="G67" s="58">
        <f t="shared" si="10"/>
        <v>0</v>
      </c>
      <c r="H67" s="113"/>
      <c r="I67" s="150">
        <f t="shared" si="19"/>
        <v>0</v>
      </c>
      <c r="J67" s="149">
        <f t="shared" si="11"/>
        <v>0</v>
      </c>
      <c r="K67" s="40"/>
      <c r="L67" s="58">
        <f t="shared" si="12"/>
        <v>0</v>
      </c>
      <c r="M67" s="113"/>
      <c r="N67" s="71">
        <f t="shared" si="20"/>
        <v>0</v>
      </c>
      <c r="O67" s="113"/>
      <c r="P67" s="74">
        <f t="shared" si="21"/>
        <v>0</v>
      </c>
      <c r="Q67" s="23"/>
      <c r="R67" s="23"/>
      <c r="S67" s="8">
        <f t="shared" si="24"/>
        <v>59</v>
      </c>
      <c r="T67" s="8">
        <f t="shared" si="22"/>
        <v>0</v>
      </c>
      <c r="U67" s="8">
        <f t="shared" si="23"/>
        <v>0</v>
      </c>
    </row>
    <row r="68" spans="1:21" ht="15.75" hidden="1" customHeight="1">
      <c r="A68" s="136" t="str">
        <f t="shared" si="14"/>
        <v/>
      </c>
      <c r="B68" s="137" t="str">
        <f t="shared" si="15"/>
        <v/>
      </c>
      <c r="C68" s="135">
        <f t="shared" si="16"/>
        <v>0</v>
      </c>
      <c r="D68" s="113"/>
      <c r="E68" s="62">
        <f t="shared" si="17"/>
        <v>0</v>
      </c>
      <c r="F68" s="62">
        <f t="shared" si="18"/>
        <v>0</v>
      </c>
      <c r="G68" s="58">
        <f t="shared" si="10"/>
        <v>0</v>
      </c>
      <c r="H68" s="113"/>
      <c r="I68" s="150">
        <f t="shared" si="19"/>
        <v>0</v>
      </c>
      <c r="J68" s="149">
        <f t="shared" si="11"/>
        <v>0</v>
      </c>
      <c r="K68" s="40"/>
      <c r="L68" s="58">
        <f t="shared" si="12"/>
        <v>0</v>
      </c>
      <c r="M68" s="113"/>
      <c r="N68" s="71">
        <f t="shared" si="20"/>
        <v>0</v>
      </c>
      <c r="O68" s="113"/>
      <c r="P68" s="74">
        <f t="shared" si="21"/>
        <v>0</v>
      </c>
      <c r="Q68" s="23"/>
      <c r="R68" s="23"/>
      <c r="S68" s="8">
        <f t="shared" si="24"/>
        <v>60</v>
      </c>
      <c r="T68" s="8">
        <f t="shared" si="22"/>
        <v>0</v>
      </c>
      <c r="U68" s="8">
        <f t="shared" si="23"/>
        <v>0</v>
      </c>
    </row>
    <row r="69" spans="1:21" ht="15.75" hidden="1" customHeight="1">
      <c r="A69" s="136" t="str">
        <f t="shared" si="14"/>
        <v/>
      </c>
      <c r="B69" s="137" t="str">
        <f t="shared" si="15"/>
        <v/>
      </c>
      <c r="C69" s="135">
        <f t="shared" si="16"/>
        <v>0</v>
      </c>
      <c r="D69" s="113"/>
      <c r="E69" s="62">
        <f t="shared" si="17"/>
        <v>0</v>
      </c>
      <c r="F69" s="62">
        <f t="shared" si="18"/>
        <v>0</v>
      </c>
      <c r="G69" s="58">
        <f t="shared" si="10"/>
        <v>0</v>
      </c>
      <c r="H69" s="113"/>
      <c r="I69" s="150">
        <f t="shared" si="19"/>
        <v>0</v>
      </c>
      <c r="J69" s="149">
        <f t="shared" si="11"/>
        <v>0</v>
      </c>
      <c r="K69" s="40"/>
      <c r="L69" s="58">
        <f t="shared" si="12"/>
        <v>0</v>
      </c>
      <c r="M69" s="113"/>
      <c r="N69" s="71">
        <f t="shared" si="20"/>
        <v>0</v>
      </c>
      <c r="O69" s="113"/>
      <c r="P69" s="74">
        <f t="shared" si="21"/>
        <v>0</v>
      </c>
      <c r="Q69" s="23"/>
      <c r="R69" s="23"/>
      <c r="S69" s="8">
        <f t="shared" si="24"/>
        <v>61</v>
      </c>
      <c r="T69" s="8">
        <f t="shared" si="22"/>
        <v>0</v>
      </c>
      <c r="U69" s="8">
        <f t="shared" si="23"/>
        <v>0</v>
      </c>
    </row>
    <row r="70" spans="1:21" ht="15.75" hidden="1" customHeight="1">
      <c r="A70" s="136" t="str">
        <f t="shared" si="14"/>
        <v/>
      </c>
      <c r="B70" s="137" t="str">
        <f t="shared" si="15"/>
        <v/>
      </c>
      <c r="C70" s="135">
        <f t="shared" si="16"/>
        <v>0</v>
      </c>
      <c r="D70" s="113"/>
      <c r="E70" s="62">
        <f t="shared" si="17"/>
        <v>0</v>
      </c>
      <c r="F70" s="62">
        <f t="shared" si="18"/>
        <v>0</v>
      </c>
      <c r="G70" s="58">
        <f t="shared" si="10"/>
        <v>0</v>
      </c>
      <c r="H70" s="113"/>
      <c r="I70" s="150">
        <f t="shared" si="19"/>
        <v>0</v>
      </c>
      <c r="J70" s="149">
        <f t="shared" si="11"/>
        <v>0</v>
      </c>
      <c r="K70" s="40"/>
      <c r="L70" s="58">
        <f t="shared" si="12"/>
        <v>0</v>
      </c>
      <c r="M70" s="113"/>
      <c r="N70" s="71">
        <f t="shared" si="20"/>
        <v>0</v>
      </c>
      <c r="O70" s="113"/>
      <c r="P70" s="74">
        <f t="shared" si="21"/>
        <v>0</v>
      </c>
      <c r="Q70" s="23"/>
      <c r="R70" s="23"/>
      <c r="S70" s="8">
        <f t="shared" si="24"/>
        <v>62</v>
      </c>
      <c r="T70" s="8">
        <f t="shared" si="22"/>
        <v>0</v>
      </c>
      <c r="U70" s="8">
        <f t="shared" si="23"/>
        <v>0</v>
      </c>
    </row>
    <row r="71" spans="1:21" ht="15.75" hidden="1" customHeight="1">
      <c r="A71" s="136" t="str">
        <f t="shared" si="14"/>
        <v/>
      </c>
      <c r="B71" s="137" t="str">
        <f t="shared" si="15"/>
        <v/>
      </c>
      <c r="C71" s="135">
        <f t="shared" si="16"/>
        <v>0</v>
      </c>
      <c r="D71" s="113"/>
      <c r="E71" s="62">
        <f t="shared" si="17"/>
        <v>0</v>
      </c>
      <c r="F71" s="62">
        <f t="shared" si="18"/>
        <v>0</v>
      </c>
      <c r="G71" s="58">
        <f t="shared" si="10"/>
        <v>0</v>
      </c>
      <c r="H71" s="113"/>
      <c r="I71" s="150">
        <f t="shared" si="19"/>
        <v>0</v>
      </c>
      <c r="J71" s="149">
        <f t="shared" si="11"/>
        <v>0</v>
      </c>
      <c r="K71" s="40"/>
      <c r="L71" s="58">
        <f t="shared" si="12"/>
        <v>0</v>
      </c>
      <c r="M71" s="113"/>
      <c r="N71" s="71">
        <f t="shared" si="20"/>
        <v>0</v>
      </c>
      <c r="O71" s="113"/>
      <c r="P71" s="74">
        <f t="shared" si="21"/>
        <v>0</v>
      </c>
      <c r="Q71" s="23"/>
      <c r="R71" s="23"/>
      <c r="S71" s="8">
        <f t="shared" si="24"/>
        <v>63</v>
      </c>
      <c r="T71" s="8">
        <f t="shared" si="22"/>
        <v>0</v>
      </c>
      <c r="U71" s="8">
        <f t="shared" si="23"/>
        <v>0</v>
      </c>
    </row>
    <row r="72" spans="1:21" ht="15.75" hidden="1" customHeight="1">
      <c r="A72" s="136" t="str">
        <f t="shared" si="14"/>
        <v/>
      </c>
      <c r="B72" s="137" t="str">
        <f t="shared" si="15"/>
        <v/>
      </c>
      <c r="C72" s="135">
        <f t="shared" si="16"/>
        <v>0</v>
      </c>
      <c r="D72" s="113"/>
      <c r="E72" s="62">
        <f t="shared" si="17"/>
        <v>0</v>
      </c>
      <c r="F72" s="62">
        <f t="shared" si="18"/>
        <v>0</v>
      </c>
      <c r="G72" s="58">
        <f t="shared" si="10"/>
        <v>0</v>
      </c>
      <c r="H72" s="113"/>
      <c r="I72" s="150">
        <f t="shared" si="19"/>
        <v>0</v>
      </c>
      <c r="J72" s="149">
        <f t="shared" si="11"/>
        <v>0</v>
      </c>
      <c r="K72" s="40"/>
      <c r="L72" s="58">
        <f t="shared" si="12"/>
        <v>0</v>
      </c>
      <c r="M72" s="113"/>
      <c r="N72" s="71">
        <f t="shared" si="20"/>
        <v>0</v>
      </c>
      <c r="O72" s="113"/>
      <c r="P72" s="74">
        <f t="shared" si="21"/>
        <v>0</v>
      </c>
      <c r="Q72" s="23"/>
      <c r="R72" s="23"/>
      <c r="S72" s="8">
        <f t="shared" si="24"/>
        <v>64</v>
      </c>
      <c r="T72" s="8">
        <f t="shared" si="22"/>
        <v>0</v>
      </c>
      <c r="U72" s="8">
        <f t="shared" si="23"/>
        <v>0</v>
      </c>
    </row>
    <row r="73" spans="1:21" ht="15.75" hidden="1" customHeight="1">
      <c r="A73" s="136" t="str">
        <f t="shared" si="14"/>
        <v/>
      </c>
      <c r="B73" s="137" t="str">
        <f t="shared" si="15"/>
        <v/>
      </c>
      <c r="C73" s="135">
        <f t="shared" si="16"/>
        <v>0</v>
      </c>
      <c r="D73" s="113"/>
      <c r="E73" s="62">
        <f t="shared" si="17"/>
        <v>0</v>
      </c>
      <c r="F73" s="62">
        <f t="shared" si="18"/>
        <v>0</v>
      </c>
      <c r="G73" s="58">
        <f t="shared" si="10"/>
        <v>0</v>
      </c>
      <c r="H73" s="113"/>
      <c r="I73" s="150">
        <f t="shared" si="19"/>
        <v>0</v>
      </c>
      <c r="J73" s="149">
        <f t="shared" si="11"/>
        <v>0</v>
      </c>
      <c r="K73" s="40"/>
      <c r="L73" s="58">
        <f t="shared" si="12"/>
        <v>0</v>
      </c>
      <c r="M73" s="113"/>
      <c r="N73" s="71">
        <f t="shared" si="20"/>
        <v>0</v>
      </c>
      <c r="O73" s="113"/>
      <c r="P73" s="74">
        <f t="shared" si="21"/>
        <v>0</v>
      </c>
      <c r="Q73" s="23"/>
      <c r="R73" s="23"/>
      <c r="S73" s="8">
        <f t="shared" si="24"/>
        <v>65</v>
      </c>
      <c r="T73" s="8">
        <f t="shared" si="22"/>
        <v>0</v>
      </c>
      <c r="U73" s="8">
        <f t="shared" si="23"/>
        <v>0</v>
      </c>
    </row>
    <row r="74" spans="1:21" ht="15.75" hidden="1" customHeight="1">
      <c r="A74" s="136" t="str">
        <f t="shared" ref="A74:A109" si="25">+IF(T74=1,INDEX(CostData,$S74,1),"")</f>
        <v/>
      </c>
      <c r="B74" s="137" t="str">
        <f t="shared" ref="B74:B109" si="26">IF(T74=1,INDEX(CostData,$S74,2),"")</f>
        <v/>
      </c>
      <c r="C74" s="135">
        <f t="shared" ref="C74:C109" si="27">IF(T74=1,INDEX(CostData,$S74,6)+(INDEX(CostData,$S74,7)*ParamIncludePrimeChanges),0)</f>
        <v>0</v>
      </c>
      <c r="D74" s="113"/>
      <c r="E74" s="62">
        <f t="shared" ref="E74:E109" si="28">IF(T74=1,INDEX(CostData,$S74,3)+INDEX(CostData,$S74,4),0)</f>
        <v>0</v>
      </c>
      <c r="F74" s="62">
        <f t="shared" ref="F74:F109" si="29">IF(T74=1,INDEX(CostData,$S74,5),0)</f>
        <v>0</v>
      </c>
      <c r="G74" s="58">
        <f t="shared" si="10"/>
        <v>0</v>
      </c>
      <c r="H74" s="113"/>
      <c r="I74" s="150">
        <f t="shared" ref="I74:I109" si="30">IF(T74=1,INDEX(CostData,$S74,8),0)</f>
        <v>0</v>
      </c>
      <c r="J74" s="149">
        <f t="shared" si="11"/>
        <v>0</v>
      </c>
      <c r="K74" s="40"/>
      <c r="L74" s="58">
        <f t="shared" si="12"/>
        <v>0</v>
      </c>
      <c r="M74" s="113"/>
      <c r="N74" s="71">
        <f t="shared" ref="N74:N109" si="31">G74-L74</f>
        <v>0</v>
      </c>
      <c r="O74" s="113"/>
      <c r="P74" s="74">
        <f t="shared" ref="P74:P109" si="32">C74-L74</f>
        <v>0</v>
      </c>
      <c r="Q74" s="23"/>
      <c r="R74" s="23"/>
      <c r="S74" s="8">
        <f t="shared" si="24"/>
        <v>66</v>
      </c>
      <c r="T74" s="8">
        <f t="shared" ref="T74:T105" si="33">+IF(AND(INDEX(CostData,S74,1)&gt;0,ROUND(INDEX(CostData,S74,1),0)&lt;&gt;ParamCOCostCode),1,0)</f>
        <v>0</v>
      </c>
      <c r="U74" s="8">
        <f t="shared" ref="U74:U109" si="34">+IF(ROUND(INDEX(CostData,S74,1),0)=ParamCOCostCode,1,0)</f>
        <v>0</v>
      </c>
    </row>
    <row r="75" spans="1:21" ht="15.75" hidden="1" customHeight="1">
      <c r="A75" s="136" t="str">
        <f t="shared" si="25"/>
        <v/>
      </c>
      <c r="B75" s="137" t="str">
        <f t="shared" si="26"/>
        <v/>
      </c>
      <c r="C75" s="135">
        <f t="shared" si="27"/>
        <v>0</v>
      </c>
      <c r="D75" s="113"/>
      <c r="E75" s="62">
        <f t="shared" si="28"/>
        <v>0</v>
      </c>
      <c r="F75" s="62">
        <f t="shared" si="29"/>
        <v>0</v>
      </c>
      <c r="G75" s="58">
        <f t="shared" ref="G75:G109" si="35">+E75+F75</f>
        <v>0</v>
      </c>
      <c r="H75" s="113"/>
      <c r="I75" s="150">
        <f t="shared" si="30"/>
        <v>0</v>
      </c>
      <c r="J75" s="149">
        <f t="shared" ref="J75:J109" si="36">+G75-I75</f>
        <v>0</v>
      </c>
      <c r="K75" s="40"/>
      <c r="L75" s="58">
        <f t="shared" ref="L75:L109" si="37">I75+K75+IF(AND(K75=0,J75&gt;0),J75,0)</f>
        <v>0</v>
      </c>
      <c r="M75" s="113"/>
      <c r="N75" s="71">
        <f t="shared" si="31"/>
        <v>0</v>
      </c>
      <c r="O75" s="113"/>
      <c r="P75" s="74">
        <f t="shared" si="32"/>
        <v>0</v>
      </c>
      <c r="Q75" s="23"/>
      <c r="R75" s="23"/>
      <c r="S75" s="8">
        <f t="shared" ref="S75:S109" si="38">+S74+1</f>
        <v>67</v>
      </c>
      <c r="T75" s="8">
        <f t="shared" si="33"/>
        <v>0</v>
      </c>
      <c r="U75" s="8">
        <f t="shared" si="34"/>
        <v>0</v>
      </c>
    </row>
    <row r="76" spans="1:21" ht="15.75" hidden="1" customHeight="1">
      <c r="A76" s="136" t="str">
        <f t="shared" si="25"/>
        <v/>
      </c>
      <c r="B76" s="137" t="str">
        <f t="shared" si="26"/>
        <v/>
      </c>
      <c r="C76" s="135">
        <f t="shared" si="27"/>
        <v>0</v>
      </c>
      <c r="D76" s="113"/>
      <c r="E76" s="62">
        <f t="shared" si="28"/>
        <v>0</v>
      </c>
      <c r="F76" s="62">
        <f t="shared" si="29"/>
        <v>0</v>
      </c>
      <c r="G76" s="58">
        <f t="shared" si="35"/>
        <v>0</v>
      </c>
      <c r="H76" s="113"/>
      <c r="I76" s="150">
        <f t="shared" si="30"/>
        <v>0</v>
      </c>
      <c r="J76" s="149">
        <f t="shared" si="36"/>
        <v>0</v>
      </c>
      <c r="K76" s="40"/>
      <c r="L76" s="58">
        <f t="shared" si="37"/>
        <v>0</v>
      </c>
      <c r="M76" s="113"/>
      <c r="N76" s="71">
        <f t="shared" si="31"/>
        <v>0</v>
      </c>
      <c r="O76" s="113"/>
      <c r="P76" s="74">
        <f t="shared" si="32"/>
        <v>0</v>
      </c>
      <c r="Q76" s="23"/>
      <c r="R76" s="23"/>
      <c r="S76" s="8">
        <f t="shared" si="38"/>
        <v>68</v>
      </c>
      <c r="T76" s="8">
        <f t="shared" si="33"/>
        <v>0</v>
      </c>
      <c r="U76" s="8">
        <f t="shared" si="34"/>
        <v>0</v>
      </c>
    </row>
    <row r="77" spans="1:21" ht="15.75" hidden="1" customHeight="1">
      <c r="A77" s="136" t="str">
        <f t="shared" si="25"/>
        <v/>
      </c>
      <c r="B77" s="137" t="str">
        <f t="shared" si="26"/>
        <v/>
      </c>
      <c r="C77" s="135">
        <f t="shared" si="27"/>
        <v>0</v>
      </c>
      <c r="D77" s="113"/>
      <c r="E77" s="62">
        <f t="shared" si="28"/>
        <v>0</v>
      </c>
      <c r="F77" s="62">
        <f t="shared" si="29"/>
        <v>0</v>
      </c>
      <c r="G77" s="58">
        <f t="shared" si="35"/>
        <v>0</v>
      </c>
      <c r="H77" s="113"/>
      <c r="I77" s="150">
        <f t="shared" si="30"/>
        <v>0</v>
      </c>
      <c r="J77" s="149">
        <f t="shared" si="36"/>
        <v>0</v>
      </c>
      <c r="K77" s="40"/>
      <c r="L77" s="58">
        <f t="shared" si="37"/>
        <v>0</v>
      </c>
      <c r="M77" s="113"/>
      <c r="N77" s="71">
        <f t="shared" si="31"/>
        <v>0</v>
      </c>
      <c r="O77" s="113"/>
      <c r="P77" s="74">
        <f t="shared" si="32"/>
        <v>0</v>
      </c>
      <c r="Q77" s="23"/>
      <c r="R77" s="23"/>
      <c r="S77" s="8">
        <f t="shared" si="38"/>
        <v>69</v>
      </c>
      <c r="T77" s="8">
        <f t="shared" si="33"/>
        <v>0</v>
      </c>
      <c r="U77" s="8">
        <f t="shared" si="34"/>
        <v>0</v>
      </c>
    </row>
    <row r="78" spans="1:21" ht="15.75" hidden="1" customHeight="1">
      <c r="A78" s="136" t="str">
        <f t="shared" si="25"/>
        <v/>
      </c>
      <c r="B78" s="137" t="str">
        <f t="shared" si="26"/>
        <v/>
      </c>
      <c r="C78" s="135">
        <f t="shared" si="27"/>
        <v>0</v>
      </c>
      <c r="D78" s="113"/>
      <c r="E78" s="62">
        <f t="shared" si="28"/>
        <v>0</v>
      </c>
      <c r="F78" s="62">
        <f t="shared" si="29"/>
        <v>0</v>
      </c>
      <c r="G78" s="58">
        <f t="shared" si="35"/>
        <v>0</v>
      </c>
      <c r="H78" s="113"/>
      <c r="I78" s="150">
        <f t="shared" si="30"/>
        <v>0</v>
      </c>
      <c r="J78" s="149">
        <f t="shared" si="36"/>
        <v>0</v>
      </c>
      <c r="K78" s="40"/>
      <c r="L78" s="58">
        <f t="shared" si="37"/>
        <v>0</v>
      </c>
      <c r="M78" s="113"/>
      <c r="N78" s="71">
        <f t="shared" si="31"/>
        <v>0</v>
      </c>
      <c r="O78" s="113"/>
      <c r="P78" s="74">
        <f t="shared" si="32"/>
        <v>0</v>
      </c>
      <c r="Q78" s="23"/>
      <c r="R78" s="23"/>
      <c r="S78" s="8">
        <f t="shared" si="38"/>
        <v>70</v>
      </c>
      <c r="T78" s="8">
        <f t="shared" si="33"/>
        <v>0</v>
      </c>
      <c r="U78" s="8">
        <f t="shared" si="34"/>
        <v>0</v>
      </c>
    </row>
    <row r="79" spans="1:21" ht="15.75" hidden="1" customHeight="1">
      <c r="A79" s="136" t="str">
        <f t="shared" si="25"/>
        <v/>
      </c>
      <c r="B79" s="137" t="str">
        <f t="shared" si="26"/>
        <v/>
      </c>
      <c r="C79" s="135">
        <f t="shared" si="27"/>
        <v>0</v>
      </c>
      <c r="D79" s="113"/>
      <c r="E79" s="62">
        <f t="shared" si="28"/>
        <v>0</v>
      </c>
      <c r="F79" s="62">
        <f t="shared" si="29"/>
        <v>0</v>
      </c>
      <c r="G79" s="58">
        <f t="shared" si="35"/>
        <v>0</v>
      </c>
      <c r="H79" s="113"/>
      <c r="I79" s="150">
        <f t="shared" si="30"/>
        <v>0</v>
      </c>
      <c r="J79" s="149">
        <f t="shared" si="36"/>
        <v>0</v>
      </c>
      <c r="K79" s="40"/>
      <c r="L79" s="58">
        <f t="shared" si="37"/>
        <v>0</v>
      </c>
      <c r="M79" s="113"/>
      <c r="N79" s="71">
        <f t="shared" si="31"/>
        <v>0</v>
      </c>
      <c r="O79" s="113"/>
      <c r="P79" s="74">
        <f t="shared" si="32"/>
        <v>0</v>
      </c>
      <c r="Q79" s="23"/>
      <c r="R79" s="23"/>
      <c r="S79" s="8">
        <f t="shared" si="38"/>
        <v>71</v>
      </c>
      <c r="T79" s="8">
        <f t="shared" si="33"/>
        <v>0</v>
      </c>
      <c r="U79" s="8">
        <f t="shared" si="34"/>
        <v>0</v>
      </c>
    </row>
    <row r="80" spans="1:21" ht="15.75" hidden="1" customHeight="1">
      <c r="A80" s="136" t="str">
        <f t="shared" si="25"/>
        <v/>
      </c>
      <c r="B80" s="137" t="str">
        <f t="shared" si="26"/>
        <v/>
      </c>
      <c r="C80" s="135">
        <f t="shared" si="27"/>
        <v>0</v>
      </c>
      <c r="D80" s="113"/>
      <c r="E80" s="62">
        <f t="shared" si="28"/>
        <v>0</v>
      </c>
      <c r="F80" s="62">
        <f t="shared" si="29"/>
        <v>0</v>
      </c>
      <c r="G80" s="58">
        <f t="shared" si="35"/>
        <v>0</v>
      </c>
      <c r="H80" s="113"/>
      <c r="I80" s="150">
        <f t="shared" si="30"/>
        <v>0</v>
      </c>
      <c r="J80" s="149">
        <f t="shared" si="36"/>
        <v>0</v>
      </c>
      <c r="K80" s="40"/>
      <c r="L80" s="58">
        <f t="shared" si="37"/>
        <v>0</v>
      </c>
      <c r="M80" s="113"/>
      <c r="N80" s="71">
        <f t="shared" si="31"/>
        <v>0</v>
      </c>
      <c r="O80" s="113"/>
      <c r="P80" s="74">
        <f t="shared" si="32"/>
        <v>0</v>
      </c>
      <c r="Q80" s="23"/>
      <c r="R80" s="23"/>
      <c r="S80" s="8">
        <f t="shared" si="38"/>
        <v>72</v>
      </c>
      <c r="T80" s="8">
        <f t="shared" si="33"/>
        <v>0</v>
      </c>
      <c r="U80" s="8">
        <f t="shared" si="34"/>
        <v>0</v>
      </c>
    </row>
    <row r="81" spans="1:21" ht="15.75" hidden="1" customHeight="1">
      <c r="A81" s="136" t="str">
        <f t="shared" si="25"/>
        <v/>
      </c>
      <c r="B81" s="137" t="str">
        <f t="shared" si="26"/>
        <v/>
      </c>
      <c r="C81" s="135">
        <f t="shared" si="27"/>
        <v>0</v>
      </c>
      <c r="D81" s="113"/>
      <c r="E81" s="62">
        <f t="shared" si="28"/>
        <v>0</v>
      </c>
      <c r="F81" s="62">
        <f t="shared" si="29"/>
        <v>0</v>
      </c>
      <c r="G81" s="58">
        <f t="shared" si="35"/>
        <v>0</v>
      </c>
      <c r="H81" s="113"/>
      <c r="I81" s="150">
        <f t="shared" si="30"/>
        <v>0</v>
      </c>
      <c r="J81" s="149">
        <f t="shared" si="36"/>
        <v>0</v>
      </c>
      <c r="K81" s="40"/>
      <c r="L81" s="58">
        <f t="shared" si="37"/>
        <v>0</v>
      </c>
      <c r="M81" s="113"/>
      <c r="N81" s="71">
        <f t="shared" si="31"/>
        <v>0</v>
      </c>
      <c r="O81" s="113"/>
      <c r="P81" s="74">
        <f t="shared" si="32"/>
        <v>0</v>
      </c>
      <c r="Q81" s="23"/>
      <c r="R81" s="23"/>
      <c r="S81" s="8">
        <f t="shared" si="38"/>
        <v>73</v>
      </c>
      <c r="T81" s="8">
        <f t="shared" si="33"/>
        <v>0</v>
      </c>
      <c r="U81" s="8">
        <f t="shared" si="34"/>
        <v>0</v>
      </c>
    </row>
    <row r="82" spans="1:21" ht="15.75" hidden="1" customHeight="1">
      <c r="A82" s="136" t="str">
        <f t="shared" si="25"/>
        <v/>
      </c>
      <c r="B82" s="137" t="str">
        <f t="shared" si="26"/>
        <v/>
      </c>
      <c r="C82" s="135">
        <f t="shared" si="27"/>
        <v>0</v>
      </c>
      <c r="D82" s="113"/>
      <c r="E82" s="62">
        <f t="shared" si="28"/>
        <v>0</v>
      </c>
      <c r="F82" s="62">
        <f t="shared" si="29"/>
        <v>0</v>
      </c>
      <c r="G82" s="58">
        <f t="shared" si="35"/>
        <v>0</v>
      </c>
      <c r="H82" s="113"/>
      <c r="I82" s="150">
        <f t="shared" si="30"/>
        <v>0</v>
      </c>
      <c r="J82" s="149">
        <f t="shared" si="36"/>
        <v>0</v>
      </c>
      <c r="K82" s="40"/>
      <c r="L82" s="58">
        <f t="shared" si="37"/>
        <v>0</v>
      </c>
      <c r="M82" s="113"/>
      <c r="N82" s="71">
        <f t="shared" si="31"/>
        <v>0</v>
      </c>
      <c r="O82" s="113"/>
      <c r="P82" s="74">
        <f t="shared" si="32"/>
        <v>0</v>
      </c>
      <c r="Q82" s="23"/>
      <c r="R82" s="23"/>
      <c r="S82" s="8">
        <f t="shared" si="38"/>
        <v>74</v>
      </c>
      <c r="T82" s="8">
        <f t="shared" si="33"/>
        <v>0</v>
      </c>
      <c r="U82" s="8">
        <f t="shared" si="34"/>
        <v>0</v>
      </c>
    </row>
    <row r="83" spans="1:21" ht="15.75" hidden="1" customHeight="1">
      <c r="A83" s="136" t="str">
        <f t="shared" si="25"/>
        <v/>
      </c>
      <c r="B83" s="137" t="str">
        <f t="shared" si="26"/>
        <v/>
      </c>
      <c r="C83" s="135">
        <f t="shared" si="27"/>
        <v>0</v>
      </c>
      <c r="D83" s="113"/>
      <c r="E83" s="62">
        <f t="shared" si="28"/>
        <v>0</v>
      </c>
      <c r="F83" s="62">
        <f t="shared" si="29"/>
        <v>0</v>
      </c>
      <c r="G83" s="58">
        <f t="shared" si="35"/>
        <v>0</v>
      </c>
      <c r="H83" s="113"/>
      <c r="I83" s="150">
        <f t="shared" si="30"/>
        <v>0</v>
      </c>
      <c r="J83" s="149">
        <f t="shared" si="36"/>
        <v>0</v>
      </c>
      <c r="K83" s="40"/>
      <c r="L83" s="58">
        <f t="shared" si="37"/>
        <v>0</v>
      </c>
      <c r="M83" s="113"/>
      <c r="N83" s="71">
        <f t="shared" si="31"/>
        <v>0</v>
      </c>
      <c r="O83" s="113"/>
      <c r="P83" s="74">
        <f t="shared" si="32"/>
        <v>0</v>
      </c>
      <c r="Q83" s="23"/>
      <c r="R83" s="23"/>
      <c r="S83" s="8">
        <f t="shared" si="38"/>
        <v>75</v>
      </c>
      <c r="T83" s="8">
        <f t="shared" si="33"/>
        <v>0</v>
      </c>
      <c r="U83" s="8">
        <f t="shared" si="34"/>
        <v>0</v>
      </c>
    </row>
    <row r="84" spans="1:21" ht="15.75" hidden="1" customHeight="1">
      <c r="A84" s="136" t="str">
        <f t="shared" si="25"/>
        <v/>
      </c>
      <c r="B84" s="137" t="str">
        <f t="shared" si="26"/>
        <v/>
      </c>
      <c r="C84" s="135">
        <f t="shared" si="27"/>
        <v>0</v>
      </c>
      <c r="D84" s="113"/>
      <c r="E84" s="62">
        <f t="shared" si="28"/>
        <v>0</v>
      </c>
      <c r="F84" s="62">
        <f t="shared" si="29"/>
        <v>0</v>
      </c>
      <c r="G84" s="58">
        <f t="shared" si="35"/>
        <v>0</v>
      </c>
      <c r="H84" s="113"/>
      <c r="I84" s="150">
        <f t="shared" si="30"/>
        <v>0</v>
      </c>
      <c r="J84" s="149">
        <f t="shared" si="36"/>
        <v>0</v>
      </c>
      <c r="K84" s="40"/>
      <c r="L84" s="58">
        <f t="shared" si="37"/>
        <v>0</v>
      </c>
      <c r="M84" s="113"/>
      <c r="N84" s="71">
        <f t="shared" si="31"/>
        <v>0</v>
      </c>
      <c r="O84" s="113"/>
      <c r="P84" s="74">
        <f t="shared" si="32"/>
        <v>0</v>
      </c>
      <c r="Q84" s="23"/>
      <c r="R84" s="23"/>
      <c r="S84" s="8">
        <f t="shared" si="38"/>
        <v>76</v>
      </c>
      <c r="T84" s="8">
        <f t="shared" si="33"/>
        <v>0</v>
      </c>
      <c r="U84" s="8">
        <f t="shared" si="34"/>
        <v>0</v>
      </c>
    </row>
    <row r="85" spans="1:21" ht="15.75" hidden="1" customHeight="1">
      <c r="A85" s="136" t="str">
        <f t="shared" si="25"/>
        <v/>
      </c>
      <c r="B85" s="137" t="str">
        <f t="shared" si="26"/>
        <v/>
      </c>
      <c r="C85" s="135">
        <f t="shared" si="27"/>
        <v>0</v>
      </c>
      <c r="D85" s="113"/>
      <c r="E85" s="62">
        <f t="shared" si="28"/>
        <v>0</v>
      </c>
      <c r="F85" s="62">
        <f t="shared" si="29"/>
        <v>0</v>
      </c>
      <c r="G85" s="58">
        <f t="shared" si="35"/>
        <v>0</v>
      </c>
      <c r="H85" s="113"/>
      <c r="I85" s="150">
        <f t="shared" si="30"/>
        <v>0</v>
      </c>
      <c r="J85" s="149">
        <f t="shared" si="36"/>
        <v>0</v>
      </c>
      <c r="K85" s="40"/>
      <c r="L85" s="58">
        <f t="shared" si="37"/>
        <v>0</v>
      </c>
      <c r="M85" s="113"/>
      <c r="N85" s="71">
        <f t="shared" si="31"/>
        <v>0</v>
      </c>
      <c r="O85" s="113"/>
      <c r="P85" s="74">
        <f t="shared" si="32"/>
        <v>0</v>
      </c>
      <c r="Q85" s="23"/>
      <c r="R85" s="23"/>
      <c r="S85" s="8">
        <f t="shared" si="38"/>
        <v>77</v>
      </c>
      <c r="T85" s="8">
        <f t="shared" si="33"/>
        <v>0</v>
      </c>
      <c r="U85" s="8">
        <f t="shared" si="34"/>
        <v>0</v>
      </c>
    </row>
    <row r="86" spans="1:21" ht="15.75" hidden="1" customHeight="1">
      <c r="A86" s="136" t="str">
        <f t="shared" si="25"/>
        <v/>
      </c>
      <c r="B86" s="137" t="str">
        <f t="shared" si="26"/>
        <v/>
      </c>
      <c r="C86" s="135">
        <f t="shared" si="27"/>
        <v>0</v>
      </c>
      <c r="D86" s="113"/>
      <c r="E86" s="62">
        <f t="shared" si="28"/>
        <v>0</v>
      </c>
      <c r="F86" s="62">
        <f t="shared" si="29"/>
        <v>0</v>
      </c>
      <c r="G86" s="58">
        <f t="shared" si="35"/>
        <v>0</v>
      </c>
      <c r="H86" s="113"/>
      <c r="I86" s="150">
        <f t="shared" si="30"/>
        <v>0</v>
      </c>
      <c r="J86" s="149">
        <f t="shared" si="36"/>
        <v>0</v>
      </c>
      <c r="K86" s="40"/>
      <c r="L86" s="58">
        <f t="shared" si="37"/>
        <v>0</v>
      </c>
      <c r="M86" s="113"/>
      <c r="N86" s="71">
        <f t="shared" si="31"/>
        <v>0</v>
      </c>
      <c r="O86" s="113"/>
      <c r="P86" s="74">
        <f t="shared" si="32"/>
        <v>0</v>
      </c>
      <c r="Q86" s="23"/>
      <c r="R86" s="23"/>
      <c r="S86" s="8">
        <f t="shared" si="38"/>
        <v>78</v>
      </c>
      <c r="T86" s="8">
        <f t="shared" si="33"/>
        <v>0</v>
      </c>
      <c r="U86" s="8">
        <f t="shared" si="34"/>
        <v>0</v>
      </c>
    </row>
    <row r="87" spans="1:21" ht="15.75" hidden="1" customHeight="1">
      <c r="A87" s="136" t="str">
        <f t="shared" si="25"/>
        <v/>
      </c>
      <c r="B87" s="137" t="str">
        <f t="shared" si="26"/>
        <v/>
      </c>
      <c r="C87" s="135">
        <f t="shared" si="27"/>
        <v>0</v>
      </c>
      <c r="D87" s="113"/>
      <c r="E87" s="62">
        <f t="shared" si="28"/>
        <v>0</v>
      </c>
      <c r="F87" s="62">
        <f t="shared" si="29"/>
        <v>0</v>
      </c>
      <c r="G87" s="58">
        <f t="shared" si="35"/>
        <v>0</v>
      </c>
      <c r="H87" s="113"/>
      <c r="I87" s="150">
        <f t="shared" si="30"/>
        <v>0</v>
      </c>
      <c r="J87" s="149">
        <f t="shared" si="36"/>
        <v>0</v>
      </c>
      <c r="K87" s="40"/>
      <c r="L87" s="58">
        <f t="shared" si="37"/>
        <v>0</v>
      </c>
      <c r="M87" s="113"/>
      <c r="N87" s="71">
        <f t="shared" si="31"/>
        <v>0</v>
      </c>
      <c r="O87" s="113"/>
      <c r="P87" s="74">
        <f t="shared" si="32"/>
        <v>0</v>
      </c>
      <c r="Q87" s="23"/>
      <c r="R87" s="23"/>
      <c r="S87" s="8">
        <f t="shared" si="38"/>
        <v>79</v>
      </c>
      <c r="T87" s="8">
        <f t="shared" si="33"/>
        <v>0</v>
      </c>
      <c r="U87" s="8">
        <f t="shared" si="34"/>
        <v>0</v>
      </c>
    </row>
    <row r="88" spans="1:21" ht="15.75" hidden="1" customHeight="1">
      <c r="A88" s="136" t="str">
        <f t="shared" si="25"/>
        <v/>
      </c>
      <c r="B88" s="137" t="str">
        <f t="shared" si="26"/>
        <v/>
      </c>
      <c r="C88" s="135">
        <f t="shared" si="27"/>
        <v>0</v>
      </c>
      <c r="D88" s="113"/>
      <c r="E88" s="62">
        <f t="shared" si="28"/>
        <v>0</v>
      </c>
      <c r="F88" s="62">
        <f t="shared" si="29"/>
        <v>0</v>
      </c>
      <c r="G88" s="58">
        <f t="shared" si="35"/>
        <v>0</v>
      </c>
      <c r="H88" s="113"/>
      <c r="I88" s="150">
        <f t="shared" si="30"/>
        <v>0</v>
      </c>
      <c r="J88" s="149">
        <f t="shared" si="36"/>
        <v>0</v>
      </c>
      <c r="K88" s="40"/>
      <c r="L88" s="58">
        <f t="shared" si="37"/>
        <v>0</v>
      </c>
      <c r="M88" s="113"/>
      <c r="N88" s="71">
        <f t="shared" si="31"/>
        <v>0</v>
      </c>
      <c r="O88" s="113"/>
      <c r="P88" s="74">
        <f t="shared" si="32"/>
        <v>0</v>
      </c>
      <c r="Q88" s="23"/>
      <c r="R88" s="23"/>
      <c r="S88" s="8">
        <f t="shared" si="38"/>
        <v>80</v>
      </c>
      <c r="T88" s="8">
        <f t="shared" si="33"/>
        <v>0</v>
      </c>
      <c r="U88" s="8">
        <f t="shared" si="34"/>
        <v>0</v>
      </c>
    </row>
    <row r="89" spans="1:21" ht="15.75" hidden="1" customHeight="1">
      <c r="A89" s="136" t="str">
        <f t="shared" si="25"/>
        <v/>
      </c>
      <c r="B89" s="137" t="str">
        <f t="shared" si="26"/>
        <v/>
      </c>
      <c r="C89" s="135">
        <f t="shared" si="27"/>
        <v>0</v>
      </c>
      <c r="D89" s="113"/>
      <c r="E89" s="62">
        <f t="shared" si="28"/>
        <v>0</v>
      </c>
      <c r="F89" s="62">
        <f t="shared" si="29"/>
        <v>0</v>
      </c>
      <c r="G89" s="58">
        <f t="shared" si="35"/>
        <v>0</v>
      </c>
      <c r="H89" s="113"/>
      <c r="I89" s="150">
        <f t="shared" si="30"/>
        <v>0</v>
      </c>
      <c r="J89" s="149">
        <f t="shared" si="36"/>
        <v>0</v>
      </c>
      <c r="K89" s="40"/>
      <c r="L89" s="58">
        <f t="shared" si="37"/>
        <v>0</v>
      </c>
      <c r="M89" s="113"/>
      <c r="N89" s="71">
        <f t="shared" si="31"/>
        <v>0</v>
      </c>
      <c r="O89" s="113"/>
      <c r="P89" s="74">
        <f t="shared" si="32"/>
        <v>0</v>
      </c>
      <c r="Q89" s="23"/>
      <c r="R89" s="23"/>
      <c r="S89" s="8">
        <f t="shared" si="38"/>
        <v>81</v>
      </c>
      <c r="T89" s="8">
        <f t="shared" si="33"/>
        <v>0</v>
      </c>
      <c r="U89" s="8">
        <f t="shared" si="34"/>
        <v>0</v>
      </c>
    </row>
    <row r="90" spans="1:21" ht="15.75" hidden="1" customHeight="1">
      <c r="A90" s="136" t="str">
        <f t="shared" si="25"/>
        <v/>
      </c>
      <c r="B90" s="137" t="str">
        <f t="shared" si="26"/>
        <v/>
      </c>
      <c r="C90" s="135">
        <f t="shared" si="27"/>
        <v>0</v>
      </c>
      <c r="D90" s="113"/>
      <c r="E90" s="62">
        <f t="shared" si="28"/>
        <v>0</v>
      </c>
      <c r="F90" s="62">
        <f t="shared" si="29"/>
        <v>0</v>
      </c>
      <c r="G90" s="58">
        <f t="shared" si="35"/>
        <v>0</v>
      </c>
      <c r="H90" s="113"/>
      <c r="I90" s="150">
        <f t="shared" si="30"/>
        <v>0</v>
      </c>
      <c r="J90" s="149">
        <f t="shared" si="36"/>
        <v>0</v>
      </c>
      <c r="K90" s="40"/>
      <c r="L90" s="58">
        <f t="shared" si="37"/>
        <v>0</v>
      </c>
      <c r="M90" s="113"/>
      <c r="N90" s="71">
        <f t="shared" si="31"/>
        <v>0</v>
      </c>
      <c r="O90" s="113"/>
      <c r="P90" s="74">
        <f t="shared" si="32"/>
        <v>0</v>
      </c>
      <c r="Q90" s="23"/>
      <c r="R90" s="23"/>
      <c r="S90" s="8">
        <f t="shared" si="38"/>
        <v>82</v>
      </c>
      <c r="T90" s="8">
        <f t="shared" si="33"/>
        <v>0</v>
      </c>
      <c r="U90" s="8">
        <f t="shared" si="34"/>
        <v>0</v>
      </c>
    </row>
    <row r="91" spans="1:21" ht="15.75" hidden="1" customHeight="1">
      <c r="A91" s="136" t="str">
        <f t="shared" si="25"/>
        <v/>
      </c>
      <c r="B91" s="137" t="str">
        <f t="shared" si="26"/>
        <v/>
      </c>
      <c r="C91" s="135">
        <f t="shared" si="27"/>
        <v>0</v>
      </c>
      <c r="D91" s="113"/>
      <c r="E91" s="62">
        <f t="shared" si="28"/>
        <v>0</v>
      </c>
      <c r="F91" s="62">
        <f t="shared" si="29"/>
        <v>0</v>
      </c>
      <c r="G91" s="58">
        <f t="shared" si="35"/>
        <v>0</v>
      </c>
      <c r="H91" s="113"/>
      <c r="I91" s="150">
        <f t="shared" si="30"/>
        <v>0</v>
      </c>
      <c r="J91" s="149">
        <f t="shared" si="36"/>
        <v>0</v>
      </c>
      <c r="K91" s="40"/>
      <c r="L91" s="58">
        <f t="shared" si="37"/>
        <v>0</v>
      </c>
      <c r="M91" s="113"/>
      <c r="N91" s="71">
        <f t="shared" si="31"/>
        <v>0</v>
      </c>
      <c r="O91" s="113"/>
      <c r="P91" s="74">
        <f t="shared" si="32"/>
        <v>0</v>
      </c>
      <c r="Q91" s="23"/>
      <c r="R91" s="23"/>
      <c r="S91" s="8">
        <f t="shared" si="38"/>
        <v>83</v>
      </c>
      <c r="T91" s="8">
        <f t="shared" si="33"/>
        <v>0</v>
      </c>
      <c r="U91" s="8">
        <f t="shared" si="34"/>
        <v>0</v>
      </c>
    </row>
    <row r="92" spans="1:21" ht="15.75" hidden="1" customHeight="1">
      <c r="A92" s="136" t="str">
        <f t="shared" si="25"/>
        <v/>
      </c>
      <c r="B92" s="137" t="str">
        <f t="shared" si="26"/>
        <v/>
      </c>
      <c r="C92" s="135">
        <f t="shared" si="27"/>
        <v>0</v>
      </c>
      <c r="D92" s="113"/>
      <c r="E92" s="62">
        <f t="shared" si="28"/>
        <v>0</v>
      </c>
      <c r="F92" s="62">
        <f t="shared" si="29"/>
        <v>0</v>
      </c>
      <c r="G92" s="58">
        <f t="shared" si="35"/>
        <v>0</v>
      </c>
      <c r="H92" s="113"/>
      <c r="I92" s="150">
        <f t="shared" si="30"/>
        <v>0</v>
      </c>
      <c r="J92" s="149">
        <f t="shared" si="36"/>
        <v>0</v>
      </c>
      <c r="K92" s="40"/>
      <c r="L92" s="58">
        <f t="shared" si="37"/>
        <v>0</v>
      </c>
      <c r="M92" s="113"/>
      <c r="N92" s="71">
        <f t="shared" si="31"/>
        <v>0</v>
      </c>
      <c r="O92" s="113"/>
      <c r="P92" s="74">
        <f t="shared" si="32"/>
        <v>0</v>
      </c>
      <c r="Q92" s="23"/>
      <c r="R92" s="23"/>
      <c r="S92" s="8">
        <f t="shared" si="38"/>
        <v>84</v>
      </c>
      <c r="T92" s="8">
        <f t="shared" si="33"/>
        <v>0</v>
      </c>
      <c r="U92" s="8">
        <f t="shared" si="34"/>
        <v>0</v>
      </c>
    </row>
    <row r="93" spans="1:21" ht="15.75" hidden="1" customHeight="1">
      <c r="A93" s="136" t="str">
        <f t="shared" si="25"/>
        <v/>
      </c>
      <c r="B93" s="137" t="str">
        <f t="shared" si="26"/>
        <v/>
      </c>
      <c r="C93" s="135">
        <f t="shared" si="27"/>
        <v>0</v>
      </c>
      <c r="D93" s="113"/>
      <c r="E93" s="62">
        <f t="shared" si="28"/>
        <v>0</v>
      </c>
      <c r="F93" s="62">
        <f t="shared" si="29"/>
        <v>0</v>
      </c>
      <c r="G93" s="58">
        <f t="shared" si="35"/>
        <v>0</v>
      </c>
      <c r="H93" s="113"/>
      <c r="I93" s="150">
        <f t="shared" si="30"/>
        <v>0</v>
      </c>
      <c r="J93" s="149">
        <f t="shared" si="36"/>
        <v>0</v>
      </c>
      <c r="K93" s="40"/>
      <c r="L93" s="58">
        <f t="shared" si="37"/>
        <v>0</v>
      </c>
      <c r="M93" s="113"/>
      <c r="N93" s="71">
        <f t="shared" si="31"/>
        <v>0</v>
      </c>
      <c r="O93" s="113"/>
      <c r="P93" s="74">
        <f t="shared" si="32"/>
        <v>0</v>
      </c>
      <c r="Q93" s="23"/>
      <c r="R93" s="23"/>
      <c r="S93" s="8">
        <f t="shared" si="38"/>
        <v>85</v>
      </c>
      <c r="T93" s="8">
        <f t="shared" si="33"/>
        <v>0</v>
      </c>
      <c r="U93" s="8">
        <f t="shared" si="34"/>
        <v>0</v>
      </c>
    </row>
    <row r="94" spans="1:21" ht="15.75" hidden="1" customHeight="1">
      <c r="A94" s="136" t="str">
        <f t="shared" si="25"/>
        <v/>
      </c>
      <c r="B94" s="137" t="str">
        <f t="shared" si="26"/>
        <v/>
      </c>
      <c r="C94" s="135">
        <f t="shared" si="27"/>
        <v>0</v>
      </c>
      <c r="D94" s="113"/>
      <c r="E94" s="62">
        <f t="shared" si="28"/>
        <v>0</v>
      </c>
      <c r="F94" s="62">
        <f t="shared" si="29"/>
        <v>0</v>
      </c>
      <c r="G94" s="58">
        <f t="shared" si="35"/>
        <v>0</v>
      </c>
      <c r="H94" s="113"/>
      <c r="I94" s="150">
        <f t="shared" si="30"/>
        <v>0</v>
      </c>
      <c r="J94" s="149">
        <f t="shared" si="36"/>
        <v>0</v>
      </c>
      <c r="K94" s="40"/>
      <c r="L94" s="58">
        <f t="shared" si="37"/>
        <v>0</v>
      </c>
      <c r="M94" s="113"/>
      <c r="N94" s="71">
        <f t="shared" si="31"/>
        <v>0</v>
      </c>
      <c r="O94" s="113"/>
      <c r="P94" s="74">
        <f t="shared" si="32"/>
        <v>0</v>
      </c>
      <c r="Q94" s="23"/>
      <c r="R94" s="23"/>
      <c r="S94" s="8">
        <f t="shared" si="38"/>
        <v>86</v>
      </c>
      <c r="T94" s="8">
        <f t="shared" si="33"/>
        <v>0</v>
      </c>
      <c r="U94" s="8">
        <f t="shared" si="34"/>
        <v>0</v>
      </c>
    </row>
    <row r="95" spans="1:21" ht="15.75" hidden="1" customHeight="1">
      <c r="A95" s="136" t="str">
        <f t="shared" si="25"/>
        <v/>
      </c>
      <c r="B95" s="137" t="str">
        <f t="shared" si="26"/>
        <v/>
      </c>
      <c r="C95" s="135">
        <f t="shared" si="27"/>
        <v>0</v>
      </c>
      <c r="D95" s="113"/>
      <c r="E95" s="62">
        <f t="shared" si="28"/>
        <v>0</v>
      </c>
      <c r="F95" s="62">
        <f t="shared" si="29"/>
        <v>0</v>
      </c>
      <c r="G95" s="58">
        <f t="shared" si="35"/>
        <v>0</v>
      </c>
      <c r="H95" s="113"/>
      <c r="I95" s="150">
        <f t="shared" si="30"/>
        <v>0</v>
      </c>
      <c r="J95" s="149">
        <f t="shared" si="36"/>
        <v>0</v>
      </c>
      <c r="K95" s="40"/>
      <c r="L95" s="58">
        <f t="shared" si="37"/>
        <v>0</v>
      </c>
      <c r="M95" s="113"/>
      <c r="N95" s="71">
        <f t="shared" si="31"/>
        <v>0</v>
      </c>
      <c r="O95" s="113"/>
      <c r="P95" s="74">
        <f t="shared" si="32"/>
        <v>0</v>
      </c>
      <c r="Q95" s="23"/>
      <c r="R95" s="23"/>
      <c r="S95" s="8">
        <f t="shared" si="38"/>
        <v>87</v>
      </c>
      <c r="T95" s="8">
        <f t="shared" si="33"/>
        <v>0</v>
      </c>
      <c r="U95" s="8">
        <f t="shared" si="34"/>
        <v>0</v>
      </c>
    </row>
    <row r="96" spans="1:21" ht="15.75" hidden="1" customHeight="1">
      <c r="A96" s="136" t="str">
        <f t="shared" si="25"/>
        <v/>
      </c>
      <c r="B96" s="137" t="str">
        <f t="shared" si="26"/>
        <v/>
      </c>
      <c r="C96" s="135">
        <f t="shared" si="27"/>
        <v>0</v>
      </c>
      <c r="D96" s="113"/>
      <c r="E96" s="62">
        <f t="shared" si="28"/>
        <v>0</v>
      </c>
      <c r="F96" s="62">
        <f t="shared" si="29"/>
        <v>0</v>
      </c>
      <c r="G96" s="58">
        <f t="shared" si="35"/>
        <v>0</v>
      </c>
      <c r="H96" s="113"/>
      <c r="I96" s="150">
        <f t="shared" si="30"/>
        <v>0</v>
      </c>
      <c r="J96" s="149">
        <f t="shared" si="36"/>
        <v>0</v>
      </c>
      <c r="K96" s="40"/>
      <c r="L96" s="58">
        <f t="shared" si="37"/>
        <v>0</v>
      </c>
      <c r="M96" s="113"/>
      <c r="N96" s="71">
        <f t="shared" si="31"/>
        <v>0</v>
      </c>
      <c r="O96" s="113"/>
      <c r="P96" s="74">
        <f t="shared" si="32"/>
        <v>0</v>
      </c>
      <c r="Q96" s="23"/>
      <c r="R96" s="23"/>
      <c r="S96" s="8">
        <f t="shared" si="38"/>
        <v>88</v>
      </c>
      <c r="T96" s="8">
        <f t="shared" si="33"/>
        <v>0</v>
      </c>
      <c r="U96" s="8">
        <f t="shared" si="34"/>
        <v>0</v>
      </c>
    </row>
    <row r="97" spans="1:21" ht="15.75" hidden="1" customHeight="1">
      <c r="A97" s="136" t="str">
        <f t="shared" si="25"/>
        <v/>
      </c>
      <c r="B97" s="137" t="str">
        <f t="shared" si="26"/>
        <v/>
      </c>
      <c r="C97" s="135">
        <f t="shared" si="27"/>
        <v>0</v>
      </c>
      <c r="D97" s="113"/>
      <c r="E97" s="62">
        <f t="shared" si="28"/>
        <v>0</v>
      </c>
      <c r="F97" s="62">
        <f t="shared" si="29"/>
        <v>0</v>
      </c>
      <c r="G97" s="58">
        <f t="shared" si="35"/>
        <v>0</v>
      </c>
      <c r="H97" s="113"/>
      <c r="I97" s="150">
        <f t="shared" si="30"/>
        <v>0</v>
      </c>
      <c r="J97" s="149">
        <f t="shared" si="36"/>
        <v>0</v>
      </c>
      <c r="K97" s="40"/>
      <c r="L97" s="58">
        <f t="shared" si="37"/>
        <v>0</v>
      </c>
      <c r="M97" s="113"/>
      <c r="N97" s="71">
        <f t="shared" si="31"/>
        <v>0</v>
      </c>
      <c r="O97" s="113"/>
      <c r="P97" s="74">
        <f t="shared" si="32"/>
        <v>0</v>
      </c>
      <c r="Q97" s="23"/>
      <c r="R97" s="23"/>
      <c r="S97" s="8">
        <f t="shared" si="38"/>
        <v>89</v>
      </c>
      <c r="T97" s="8">
        <f t="shared" si="33"/>
        <v>0</v>
      </c>
      <c r="U97" s="8">
        <f t="shared" si="34"/>
        <v>0</v>
      </c>
    </row>
    <row r="98" spans="1:21" ht="15.75" hidden="1" customHeight="1">
      <c r="A98" s="136" t="str">
        <f t="shared" si="25"/>
        <v/>
      </c>
      <c r="B98" s="137" t="str">
        <f t="shared" si="26"/>
        <v/>
      </c>
      <c r="C98" s="135">
        <f t="shared" si="27"/>
        <v>0</v>
      </c>
      <c r="D98" s="113"/>
      <c r="E98" s="62">
        <f t="shared" si="28"/>
        <v>0</v>
      </c>
      <c r="F98" s="62">
        <f t="shared" si="29"/>
        <v>0</v>
      </c>
      <c r="G98" s="58">
        <f t="shared" si="35"/>
        <v>0</v>
      </c>
      <c r="H98" s="113"/>
      <c r="I98" s="150">
        <f t="shared" si="30"/>
        <v>0</v>
      </c>
      <c r="J98" s="149">
        <f t="shared" si="36"/>
        <v>0</v>
      </c>
      <c r="K98" s="40"/>
      <c r="L98" s="58">
        <f t="shared" si="37"/>
        <v>0</v>
      </c>
      <c r="M98" s="113"/>
      <c r="N98" s="71">
        <f t="shared" si="31"/>
        <v>0</v>
      </c>
      <c r="O98" s="113"/>
      <c r="P98" s="74">
        <f t="shared" si="32"/>
        <v>0</v>
      </c>
      <c r="Q98" s="23"/>
      <c r="R98" s="23"/>
      <c r="S98" s="8">
        <f t="shared" si="38"/>
        <v>90</v>
      </c>
      <c r="T98" s="8">
        <f t="shared" si="33"/>
        <v>0</v>
      </c>
      <c r="U98" s="8">
        <f t="shared" si="34"/>
        <v>0</v>
      </c>
    </row>
    <row r="99" spans="1:21" ht="15.75" hidden="1" customHeight="1">
      <c r="A99" s="136" t="str">
        <f t="shared" si="25"/>
        <v/>
      </c>
      <c r="B99" s="137" t="str">
        <f t="shared" si="26"/>
        <v/>
      </c>
      <c r="C99" s="135">
        <f t="shared" si="27"/>
        <v>0</v>
      </c>
      <c r="D99" s="113"/>
      <c r="E99" s="62">
        <f t="shared" si="28"/>
        <v>0</v>
      </c>
      <c r="F99" s="62">
        <f t="shared" si="29"/>
        <v>0</v>
      </c>
      <c r="G99" s="58">
        <f t="shared" si="35"/>
        <v>0</v>
      </c>
      <c r="H99" s="113"/>
      <c r="I99" s="150">
        <f t="shared" si="30"/>
        <v>0</v>
      </c>
      <c r="J99" s="149">
        <f t="shared" si="36"/>
        <v>0</v>
      </c>
      <c r="K99" s="40"/>
      <c r="L99" s="58">
        <f t="shared" si="37"/>
        <v>0</v>
      </c>
      <c r="M99" s="113"/>
      <c r="N99" s="71">
        <f t="shared" si="31"/>
        <v>0</v>
      </c>
      <c r="O99" s="113"/>
      <c r="P99" s="74">
        <f t="shared" si="32"/>
        <v>0</v>
      </c>
      <c r="Q99" s="23"/>
      <c r="R99" s="23"/>
      <c r="S99" s="8">
        <f t="shared" si="38"/>
        <v>91</v>
      </c>
      <c r="T99" s="8">
        <f t="shared" si="33"/>
        <v>0</v>
      </c>
      <c r="U99" s="8">
        <f t="shared" si="34"/>
        <v>0</v>
      </c>
    </row>
    <row r="100" spans="1:21" ht="15.75" hidden="1" customHeight="1">
      <c r="A100" s="136" t="str">
        <f t="shared" si="25"/>
        <v/>
      </c>
      <c r="B100" s="137" t="str">
        <f t="shared" si="26"/>
        <v/>
      </c>
      <c r="C100" s="135">
        <f t="shared" si="27"/>
        <v>0</v>
      </c>
      <c r="D100" s="113"/>
      <c r="E100" s="62">
        <f t="shared" si="28"/>
        <v>0</v>
      </c>
      <c r="F100" s="62">
        <f t="shared" si="29"/>
        <v>0</v>
      </c>
      <c r="G100" s="58">
        <f t="shared" si="35"/>
        <v>0</v>
      </c>
      <c r="H100" s="113"/>
      <c r="I100" s="150">
        <f t="shared" si="30"/>
        <v>0</v>
      </c>
      <c r="J100" s="149">
        <f t="shared" si="36"/>
        <v>0</v>
      </c>
      <c r="K100" s="40"/>
      <c r="L100" s="58">
        <f t="shared" si="37"/>
        <v>0</v>
      </c>
      <c r="M100" s="113"/>
      <c r="N100" s="71">
        <f t="shared" si="31"/>
        <v>0</v>
      </c>
      <c r="O100" s="113"/>
      <c r="P100" s="74">
        <f t="shared" si="32"/>
        <v>0</v>
      </c>
      <c r="Q100" s="23"/>
      <c r="R100" s="23"/>
      <c r="S100" s="8">
        <f t="shared" si="38"/>
        <v>92</v>
      </c>
      <c r="T100" s="8">
        <f t="shared" si="33"/>
        <v>0</v>
      </c>
      <c r="U100" s="8">
        <f t="shared" si="34"/>
        <v>0</v>
      </c>
    </row>
    <row r="101" spans="1:21" ht="15.75" hidden="1" customHeight="1">
      <c r="A101" s="136" t="str">
        <f t="shared" si="25"/>
        <v/>
      </c>
      <c r="B101" s="137" t="str">
        <f t="shared" si="26"/>
        <v/>
      </c>
      <c r="C101" s="135">
        <f t="shared" si="27"/>
        <v>0</v>
      </c>
      <c r="D101" s="113"/>
      <c r="E101" s="62">
        <f t="shared" si="28"/>
        <v>0</v>
      </c>
      <c r="F101" s="62">
        <f t="shared" si="29"/>
        <v>0</v>
      </c>
      <c r="G101" s="58">
        <f t="shared" si="35"/>
        <v>0</v>
      </c>
      <c r="H101" s="113"/>
      <c r="I101" s="150">
        <f t="shared" si="30"/>
        <v>0</v>
      </c>
      <c r="J101" s="149">
        <f t="shared" si="36"/>
        <v>0</v>
      </c>
      <c r="K101" s="40"/>
      <c r="L101" s="58">
        <f t="shared" si="37"/>
        <v>0</v>
      </c>
      <c r="M101" s="113"/>
      <c r="N101" s="71">
        <f t="shared" si="31"/>
        <v>0</v>
      </c>
      <c r="O101" s="113"/>
      <c r="P101" s="74">
        <f t="shared" si="32"/>
        <v>0</v>
      </c>
      <c r="Q101" s="23"/>
      <c r="R101" s="23"/>
      <c r="S101" s="8">
        <f t="shared" si="38"/>
        <v>93</v>
      </c>
      <c r="T101" s="8">
        <f t="shared" si="33"/>
        <v>0</v>
      </c>
      <c r="U101" s="8">
        <f t="shared" si="34"/>
        <v>0</v>
      </c>
    </row>
    <row r="102" spans="1:21" ht="15.75" hidden="1" customHeight="1">
      <c r="A102" s="136" t="str">
        <f t="shared" si="25"/>
        <v/>
      </c>
      <c r="B102" s="137" t="str">
        <f t="shared" si="26"/>
        <v/>
      </c>
      <c r="C102" s="135">
        <f t="shared" si="27"/>
        <v>0</v>
      </c>
      <c r="D102" s="113"/>
      <c r="E102" s="62">
        <f t="shared" si="28"/>
        <v>0</v>
      </c>
      <c r="F102" s="62">
        <f t="shared" si="29"/>
        <v>0</v>
      </c>
      <c r="G102" s="58">
        <f t="shared" si="35"/>
        <v>0</v>
      </c>
      <c r="H102" s="113"/>
      <c r="I102" s="150">
        <f t="shared" si="30"/>
        <v>0</v>
      </c>
      <c r="J102" s="149">
        <f t="shared" si="36"/>
        <v>0</v>
      </c>
      <c r="K102" s="40"/>
      <c r="L102" s="58">
        <f t="shared" si="37"/>
        <v>0</v>
      </c>
      <c r="M102" s="113"/>
      <c r="N102" s="71">
        <f t="shared" si="31"/>
        <v>0</v>
      </c>
      <c r="O102" s="113"/>
      <c r="P102" s="74">
        <f t="shared" si="32"/>
        <v>0</v>
      </c>
      <c r="Q102" s="23"/>
      <c r="R102" s="23"/>
      <c r="S102" s="8">
        <f t="shared" si="38"/>
        <v>94</v>
      </c>
      <c r="T102" s="8">
        <f t="shared" si="33"/>
        <v>0</v>
      </c>
      <c r="U102" s="8">
        <f t="shared" si="34"/>
        <v>0</v>
      </c>
    </row>
    <row r="103" spans="1:21" ht="15.75" hidden="1" customHeight="1">
      <c r="A103" s="136" t="str">
        <f t="shared" si="25"/>
        <v/>
      </c>
      <c r="B103" s="137" t="str">
        <f t="shared" si="26"/>
        <v/>
      </c>
      <c r="C103" s="135">
        <f t="shared" si="27"/>
        <v>0</v>
      </c>
      <c r="D103" s="113"/>
      <c r="E103" s="62">
        <f t="shared" si="28"/>
        <v>0</v>
      </c>
      <c r="F103" s="62">
        <f t="shared" si="29"/>
        <v>0</v>
      </c>
      <c r="G103" s="58">
        <f t="shared" si="35"/>
        <v>0</v>
      </c>
      <c r="H103" s="113"/>
      <c r="I103" s="150">
        <f t="shared" si="30"/>
        <v>0</v>
      </c>
      <c r="J103" s="149">
        <f t="shared" si="36"/>
        <v>0</v>
      </c>
      <c r="K103" s="40"/>
      <c r="L103" s="58">
        <f t="shared" si="37"/>
        <v>0</v>
      </c>
      <c r="M103" s="113"/>
      <c r="N103" s="71">
        <f t="shared" si="31"/>
        <v>0</v>
      </c>
      <c r="O103" s="113"/>
      <c r="P103" s="74">
        <f t="shared" si="32"/>
        <v>0</v>
      </c>
      <c r="Q103" s="23"/>
      <c r="R103" s="23"/>
      <c r="S103" s="8">
        <f t="shared" si="38"/>
        <v>95</v>
      </c>
      <c r="T103" s="8">
        <f t="shared" si="33"/>
        <v>0</v>
      </c>
      <c r="U103" s="8">
        <f t="shared" si="34"/>
        <v>0</v>
      </c>
    </row>
    <row r="104" spans="1:21" ht="15.75" hidden="1" customHeight="1">
      <c r="A104" s="136" t="str">
        <f t="shared" si="25"/>
        <v/>
      </c>
      <c r="B104" s="137" t="str">
        <f t="shared" si="26"/>
        <v/>
      </c>
      <c r="C104" s="135">
        <f t="shared" si="27"/>
        <v>0</v>
      </c>
      <c r="D104" s="113"/>
      <c r="E104" s="62">
        <f t="shared" si="28"/>
        <v>0</v>
      </c>
      <c r="F104" s="62">
        <f t="shared" si="29"/>
        <v>0</v>
      </c>
      <c r="G104" s="58">
        <f t="shared" si="35"/>
        <v>0</v>
      </c>
      <c r="H104" s="113"/>
      <c r="I104" s="150">
        <f t="shared" si="30"/>
        <v>0</v>
      </c>
      <c r="J104" s="149">
        <f t="shared" si="36"/>
        <v>0</v>
      </c>
      <c r="K104" s="40"/>
      <c r="L104" s="58">
        <f t="shared" si="37"/>
        <v>0</v>
      </c>
      <c r="M104" s="113"/>
      <c r="N104" s="71">
        <f t="shared" si="31"/>
        <v>0</v>
      </c>
      <c r="O104" s="113"/>
      <c r="P104" s="74">
        <f t="shared" si="32"/>
        <v>0</v>
      </c>
      <c r="Q104" s="23"/>
      <c r="R104" s="23"/>
      <c r="S104" s="8">
        <f t="shared" si="38"/>
        <v>96</v>
      </c>
      <c r="T104" s="8">
        <f t="shared" si="33"/>
        <v>0</v>
      </c>
      <c r="U104" s="8">
        <f t="shared" si="34"/>
        <v>0</v>
      </c>
    </row>
    <row r="105" spans="1:21" ht="15.75" hidden="1" customHeight="1">
      <c r="A105" s="136" t="str">
        <f t="shared" si="25"/>
        <v/>
      </c>
      <c r="B105" s="137" t="str">
        <f t="shared" si="26"/>
        <v/>
      </c>
      <c r="C105" s="135">
        <f t="shared" si="27"/>
        <v>0</v>
      </c>
      <c r="D105" s="113"/>
      <c r="E105" s="62">
        <f t="shared" si="28"/>
        <v>0</v>
      </c>
      <c r="F105" s="62">
        <f t="shared" si="29"/>
        <v>0</v>
      </c>
      <c r="G105" s="58">
        <f t="shared" si="35"/>
        <v>0</v>
      </c>
      <c r="H105" s="113"/>
      <c r="I105" s="150">
        <f t="shared" si="30"/>
        <v>0</v>
      </c>
      <c r="J105" s="149">
        <f t="shared" si="36"/>
        <v>0</v>
      </c>
      <c r="K105" s="40"/>
      <c r="L105" s="58">
        <f t="shared" si="37"/>
        <v>0</v>
      </c>
      <c r="M105" s="113"/>
      <c r="N105" s="71">
        <f t="shared" si="31"/>
        <v>0</v>
      </c>
      <c r="O105" s="113"/>
      <c r="P105" s="74">
        <f t="shared" si="32"/>
        <v>0</v>
      </c>
      <c r="Q105" s="23"/>
      <c r="R105" s="23"/>
      <c r="S105" s="8">
        <f t="shared" si="38"/>
        <v>97</v>
      </c>
      <c r="T105" s="8">
        <f t="shared" si="33"/>
        <v>0</v>
      </c>
      <c r="U105" s="8">
        <f t="shared" si="34"/>
        <v>0</v>
      </c>
    </row>
    <row r="106" spans="1:21" ht="15.75" hidden="1" customHeight="1">
      <c r="A106" s="136" t="str">
        <f t="shared" si="25"/>
        <v/>
      </c>
      <c r="B106" s="137" t="str">
        <f t="shared" si="26"/>
        <v/>
      </c>
      <c r="C106" s="135">
        <f t="shared" si="27"/>
        <v>0</v>
      </c>
      <c r="D106" s="113"/>
      <c r="E106" s="62">
        <f t="shared" si="28"/>
        <v>0</v>
      </c>
      <c r="F106" s="62">
        <f t="shared" si="29"/>
        <v>0</v>
      </c>
      <c r="G106" s="58">
        <f t="shared" si="35"/>
        <v>0</v>
      </c>
      <c r="H106" s="113"/>
      <c r="I106" s="150">
        <f t="shared" si="30"/>
        <v>0</v>
      </c>
      <c r="J106" s="149">
        <f t="shared" si="36"/>
        <v>0</v>
      </c>
      <c r="K106" s="40"/>
      <c r="L106" s="58">
        <f t="shared" si="37"/>
        <v>0</v>
      </c>
      <c r="M106" s="113"/>
      <c r="N106" s="71">
        <f t="shared" si="31"/>
        <v>0</v>
      </c>
      <c r="O106" s="113"/>
      <c r="P106" s="74">
        <f t="shared" si="32"/>
        <v>0</v>
      </c>
      <c r="Q106" s="23"/>
      <c r="R106" s="23"/>
      <c r="S106" s="8">
        <f t="shared" si="38"/>
        <v>98</v>
      </c>
      <c r="T106" s="8">
        <f>+IF(AND(INDEX(CostData,S106,1)&gt;0,ROUND(INDEX(CostData,S106,1),0)&lt;&gt;ParamCOCostCode),1,0)</f>
        <v>0</v>
      </c>
      <c r="U106" s="8">
        <f t="shared" si="34"/>
        <v>0</v>
      </c>
    </row>
    <row r="107" spans="1:21" ht="15.75" hidden="1" customHeight="1">
      <c r="A107" s="136" t="str">
        <f t="shared" si="25"/>
        <v/>
      </c>
      <c r="B107" s="137" t="str">
        <f t="shared" si="26"/>
        <v/>
      </c>
      <c r="C107" s="135">
        <f t="shared" si="27"/>
        <v>0</v>
      </c>
      <c r="D107" s="113"/>
      <c r="E107" s="62">
        <f t="shared" si="28"/>
        <v>0</v>
      </c>
      <c r="F107" s="62">
        <f t="shared" si="29"/>
        <v>0</v>
      </c>
      <c r="G107" s="58">
        <f t="shared" si="35"/>
        <v>0</v>
      </c>
      <c r="H107" s="113"/>
      <c r="I107" s="150">
        <f t="shared" si="30"/>
        <v>0</v>
      </c>
      <c r="J107" s="149">
        <f t="shared" si="36"/>
        <v>0</v>
      </c>
      <c r="K107" s="40"/>
      <c r="L107" s="58">
        <f t="shared" si="37"/>
        <v>0</v>
      </c>
      <c r="M107" s="113"/>
      <c r="N107" s="71">
        <f t="shared" si="31"/>
        <v>0</v>
      </c>
      <c r="O107" s="113"/>
      <c r="P107" s="74">
        <f t="shared" si="32"/>
        <v>0</v>
      </c>
      <c r="Q107" s="23"/>
      <c r="R107" s="23"/>
      <c r="S107" s="8">
        <f t="shared" si="38"/>
        <v>99</v>
      </c>
      <c r="T107" s="8">
        <f>+IF(AND(INDEX(CostData,S107,1)&gt;0,ROUND(INDEX(CostData,S107,1),0)&lt;&gt;ParamCOCostCode),1,0)</f>
        <v>0</v>
      </c>
      <c r="U107" s="8">
        <f t="shared" si="34"/>
        <v>0</v>
      </c>
    </row>
    <row r="108" spans="1:21" ht="15.75" hidden="1" customHeight="1">
      <c r="A108" s="136" t="str">
        <f t="shared" si="25"/>
        <v/>
      </c>
      <c r="B108" s="137" t="str">
        <f t="shared" si="26"/>
        <v/>
      </c>
      <c r="C108" s="135">
        <f t="shared" si="27"/>
        <v>0</v>
      </c>
      <c r="D108" s="113"/>
      <c r="E108" s="62">
        <f t="shared" si="28"/>
        <v>0</v>
      </c>
      <c r="F108" s="62">
        <f t="shared" si="29"/>
        <v>0</v>
      </c>
      <c r="G108" s="58">
        <f t="shared" si="35"/>
        <v>0</v>
      </c>
      <c r="H108" s="113"/>
      <c r="I108" s="150">
        <f t="shared" si="30"/>
        <v>0</v>
      </c>
      <c r="J108" s="149">
        <f t="shared" si="36"/>
        <v>0</v>
      </c>
      <c r="K108" s="40"/>
      <c r="L108" s="58">
        <f t="shared" si="37"/>
        <v>0</v>
      </c>
      <c r="M108" s="113"/>
      <c r="N108" s="71">
        <f t="shared" si="31"/>
        <v>0</v>
      </c>
      <c r="O108" s="113"/>
      <c r="P108" s="74">
        <f t="shared" si="32"/>
        <v>0</v>
      </c>
      <c r="Q108" s="23"/>
      <c r="R108" s="23"/>
      <c r="S108" s="8">
        <f t="shared" si="38"/>
        <v>100</v>
      </c>
      <c r="T108" s="8">
        <f>+IF(AND(INDEX(CostData,S108,1)&gt;0,ROUND(INDEX(CostData,S108,1),0)&lt;&gt;ParamCOCostCode),1,0)</f>
        <v>0</v>
      </c>
      <c r="U108" s="8">
        <f t="shared" si="34"/>
        <v>0</v>
      </c>
    </row>
    <row r="109" spans="1:21" ht="15.75" hidden="1" customHeight="1" thickBot="1">
      <c r="A109" s="138" t="str">
        <f t="shared" si="25"/>
        <v/>
      </c>
      <c r="B109" s="139" t="str">
        <f t="shared" si="26"/>
        <v/>
      </c>
      <c r="C109" s="140">
        <f t="shared" si="27"/>
        <v>0</v>
      </c>
      <c r="D109" s="113"/>
      <c r="E109" s="65">
        <f t="shared" si="28"/>
        <v>0</v>
      </c>
      <c r="F109" s="65">
        <f t="shared" si="29"/>
        <v>0</v>
      </c>
      <c r="G109" s="59">
        <f t="shared" si="35"/>
        <v>0</v>
      </c>
      <c r="H109" s="113"/>
      <c r="I109" s="151">
        <f t="shared" si="30"/>
        <v>0</v>
      </c>
      <c r="J109" s="152">
        <f t="shared" si="36"/>
        <v>0</v>
      </c>
      <c r="K109" s="41"/>
      <c r="L109" s="59">
        <f t="shared" si="37"/>
        <v>0</v>
      </c>
      <c r="M109" s="113"/>
      <c r="N109" s="72">
        <f t="shared" si="31"/>
        <v>0</v>
      </c>
      <c r="O109" s="113"/>
      <c r="P109" s="75">
        <f t="shared" si="32"/>
        <v>0</v>
      </c>
      <c r="Q109" s="23"/>
      <c r="R109" s="23"/>
      <c r="S109" s="8">
        <f t="shared" si="38"/>
        <v>101</v>
      </c>
      <c r="T109" s="8">
        <f>+IF(AND(INDEX(CostData,S109,1)&gt;0,ROUND(INDEX(CostData,S109,1),0)&lt;&gt;ParamCOCostCode),1,0)</f>
        <v>0</v>
      </c>
      <c r="U109" s="8">
        <f t="shared" si="34"/>
        <v>0</v>
      </c>
    </row>
    <row r="110" spans="1:21" s="25" customFormat="1" ht="15.75" customHeight="1" thickBot="1">
      <c r="A110" s="95" t="s">
        <v>29</v>
      </c>
      <c r="B110" s="96" t="str">
        <f>"ORIGINAL CONTRACT "&amp;IF(ParamIncludePrimeChanges=1,"(W/ Prime Changes)","(W/O Prime Changes)")</f>
        <v>ORIGINAL CONTRACT (W/ Prime Changes)</v>
      </c>
      <c r="C110" s="98">
        <f>+SUM(C10:C109)</f>
        <v>553499</v>
      </c>
      <c r="D110" s="114"/>
      <c r="E110" s="99">
        <f>+SUM(E10:E109)</f>
        <v>467642</v>
      </c>
      <c r="F110" s="97">
        <f>+SUM(F10:F109)</f>
        <v>790</v>
      </c>
      <c r="G110" s="100">
        <f>+SUM(G10:G109)</f>
        <v>468432</v>
      </c>
      <c r="H110" s="114"/>
      <c r="I110" s="101">
        <f>SUM(I10:I109)</f>
        <v>189793.41999999998</v>
      </c>
      <c r="J110" s="101">
        <f>+G110-I110</f>
        <v>278638.58</v>
      </c>
      <c r="K110" s="102">
        <f>SUM(K10:K109)</f>
        <v>32000</v>
      </c>
      <c r="L110" s="98">
        <f>SUM(L10:L109)</f>
        <v>500134.33</v>
      </c>
      <c r="M110" s="114"/>
      <c r="N110" s="103">
        <f>SUM(N10:N109)</f>
        <v>-31702.330000000005</v>
      </c>
      <c r="O110" s="114"/>
      <c r="P110" s="101">
        <f>SUM(P10:P109)</f>
        <v>53364.670000000013</v>
      </c>
      <c r="Q110" s="24"/>
      <c r="R110" s="24"/>
      <c r="S110" s="8"/>
      <c r="T110" s="8"/>
      <c r="U110" s="8"/>
    </row>
    <row r="111" spans="1:21" s="25" customFormat="1" ht="15.75" customHeight="1" thickBot="1">
      <c r="A111" s="95" t="s">
        <v>28</v>
      </c>
      <c r="B111" s="96" t="s">
        <v>38</v>
      </c>
      <c r="C111" s="105" t="s">
        <v>39</v>
      </c>
      <c r="D111" s="114"/>
      <c r="E111" s="106"/>
      <c r="F111" s="100"/>
      <c r="G111" s="100"/>
      <c r="H111" s="114"/>
      <c r="I111" s="101"/>
      <c r="J111" s="101"/>
      <c r="K111" s="102"/>
      <c r="L111" s="98"/>
      <c r="M111" s="114"/>
      <c r="N111" s="103"/>
      <c r="O111" s="114"/>
      <c r="P111" s="103"/>
      <c r="Q111" s="24"/>
      <c r="R111" s="24"/>
      <c r="S111" s="8"/>
      <c r="T111" s="8"/>
      <c r="U111" s="8"/>
    </row>
    <row r="112" spans="1:21" ht="15.75" customHeight="1">
      <c r="A112" s="141" t="str">
        <f t="shared" ref="A112:A143" si="39">+IF($U112=1,INDEX(ChangeData,$S112,1),"")</f>
        <v>1</v>
      </c>
      <c r="B112" s="142" t="str">
        <f t="shared" ref="B112:B143" si="40">+IF($U112=1,INDEX(ChangeData,$S112,3),"")</f>
        <v>Stucco on Saturdays</v>
      </c>
      <c r="C112" s="143">
        <f t="shared" ref="C112:C143" si="41">+IF($U112=1,INDEX(ChangeData,$S112,4),"")</f>
        <v>0</v>
      </c>
      <c r="D112" s="113"/>
      <c r="E112" s="77">
        <f>+SUM(INDEX(CalcChangeBudget,,1))</f>
        <v>0</v>
      </c>
      <c r="F112" s="91"/>
      <c r="G112" s="76">
        <f>+E112</f>
        <v>0</v>
      </c>
      <c r="H112" s="113"/>
      <c r="I112" s="149">
        <f>+SUM(INDEX(CalcChangeCosts,,1))</f>
        <v>0</v>
      </c>
      <c r="J112" s="77">
        <f>+G112-I112</f>
        <v>0</v>
      </c>
      <c r="K112" s="78"/>
      <c r="L112" s="76">
        <f>I112+K112</f>
        <v>0</v>
      </c>
      <c r="M112" s="113"/>
      <c r="N112" s="104">
        <f>G112-L112</f>
        <v>0</v>
      </c>
      <c r="O112" s="113"/>
      <c r="P112" s="104">
        <f>SUM(C112:C361)-N112</f>
        <v>0</v>
      </c>
      <c r="Q112" s="23"/>
      <c r="R112" s="23"/>
      <c r="S112" s="8">
        <v>2</v>
      </c>
      <c r="U112" s="8">
        <f t="shared" ref="U112:U143" si="42">IF(LEN(INDEX(ChangeData,S112,1))&gt;0,1,0)</f>
        <v>1</v>
      </c>
    </row>
    <row r="113" spans="1:21" ht="15.75" customHeight="1" thickBot="1">
      <c r="A113" s="136" t="str">
        <f t="shared" si="39"/>
        <v>101</v>
      </c>
      <c r="B113" s="137" t="str">
        <f t="shared" si="40"/>
        <v>Punch: Tile Repair</v>
      </c>
      <c r="C113" s="135">
        <f t="shared" si="41"/>
        <v>0</v>
      </c>
      <c r="D113" s="113"/>
      <c r="E113" s="92"/>
      <c r="F113" s="92"/>
      <c r="G113" s="92"/>
      <c r="H113" s="113"/>
      <c r="I113" s="80"/>
      <c r="J113" s="80"/>
      <c r="K113" s="83"/>
      <c r="L113" s="145"/>
      <c r="M113" s="113"/>
      <c r="N113" s="146"/>
      <c r="O113" s="113"/>
      <c r="P113" s="147"/>
      <c r="Q113" s="23"/>
      <c r="R113" s="23"/>
      <c r="S113" s="8">
        <f t="shared" ref="S113:S176" si="43">+S112+1</f>
        <v>3</v>
      </c>
      <c r="U113" s="8">
        <f t="shared" si="42"/>
        <v>1</v>
      </c>
    </row>
    <row r="114" spans="1:21" ht="15.75" hidden="1" customHeight="1">
      <c r="A114" s="136" t="str">
        <f t="shared" si="39"/>
        <v/>
      </c>
      <c r="B114" s="137" t="str">
        <f t="shared" si="40"/>
        <v/>
      </c>
      <c r="C114" s="135" t="str">
        <f t="shared" si="41"/>
        <v/>
      </c>
      <c r="D114" s="113"/>
      <c r="E114" s="92"/>
      <c r="F114" s="92"/>
      <c r="G114" s="92"/>
      <c r="H114" s="113"/>
      <c r="I114" s="80"/>
      <c r="J114" s="80"/>
      <c r="K114" s="83"/>
      <c r="L114" s="82"/>
      <c r="M114" s="113"/>
      <c r="N114" s="146"/>
      <c r="O114" s="113"/>
      <c r="P114" s="147"/>
      <c r="Q114" s="23"/>
      <c r="R114" s="23"/>
      <c r="S114" s="8">
        <f t="shared" si="43"/>
        <v>4</v>
      </c>
      <c r="U114" s="8">
        <f t="shared" si="42"/>
        <v>0</v>
      </c>
    </row>
    <row r="115" spans="1:21" ht="15.75" hidden="1" customHeight="1">
      <c r="A115" s="136" t="str">
        <f t="shared" si="39"/>
        <v/>
      </c>
      <c r="B115" s="137" t="str">
        <f t="shared" si="40"/>
        <v/>
      </c>
      <c r="C115" s="135" t="str">
        <f t="shared" si="41"/>
        <v/>
      </c>
      <c r="D115" s="113"/>
      <c r="E115" s="92"/>
      <c r="F115" s="92"/>
      <c r="G115" s="92"/>
      <c r="H115" s="113"/>
      <c r="I115" s="80"/>
      <c r="J115" s="80"/>
      <c r="K115" s="83"/>
      <c r="L115" s="82"/>
      <c r="M115" s="113"/>
      <c r="N115" s="146"/>
      <c r="O115" s="113"/>
      <c r="P115" s="147"/>
      <c r="Q115" s="23"/>
      <c r="R115" s="23"/>
      <c r="S115" s="8">
        <f t="shared" si="43"/>
        <v>5</v>
      </c>
      <c r="U115" s="8">
        <f t="shared" si="42"/>
        <v>0</v>
      </c>
    </row>
    <row r="116" spans="1:21" ht="15.75" hidden="1" customHeight="1">
      <c r="A116" s="136" t="str">
        <f t="shared" si="39"/>
        <v/>
      </c>
      <c r="B116" s="137" t="str">
        <f t="shared" si="40"/>
        <v/>
      </c>
      <c r="C116" s="135" t="str">
        <f t="shared" si="41"/>
        <v/>
      </c>
      <c r="D116" s="113"/>
      <c r="E116" s="92"/>
      <c r="F116" s="92"/>
      <c r="G116" s="92"/>
      <c r="H116" s="113"/>
      <c r="I116" s="80"/>
      <c r="J116" s="80"/>
      <c r="K116" s="83"/>
      <c r="L116" s="82"/>
      <c r="M116" s="113"/>
      <c r="N116" s="146"/>
      <c r="O116" s="113"/>
      <c r="P116" s="147"/>
      <c r="Q116" s="23"/>
      <c r="R116" s="23"/>
      <c r="S116" s="8">
        <f t="shared" si="43"/>
        <v>6</v>
      </c>
      <c r="U116" s="8">
        <f t="shared" si="42"/>
        <v>0</v>
      </c>
    </row>
    <row r="117" spans="1:21" ht="15.75" hidden="1" customHeight="1">
      <c r="A117" s="136" t="str">
        <f t="shared" si="39"/>
        <v/>
      </c>
      <c r="B117" s="137" t="str">
        <f t="shared" si="40"/>
        <v/>
      </c>
      <c r="C117" s="135" t="str">
        <f t="shared" si="41"/>
        <v/>
      </c>
      <c r="D117" s="113"/>
      <c r="E117" s="92"/>
      <c r="F117" s="92"/>
      <c r="G117" s="92"/>
      <c r="H117" s="113"/>
      <c r="I117" s="80"/>
      <c r="J117" s="80"/>
      <c r="K117" s="83"/>
      <c r="L117" s="82"/>
      <c r="M117" s="113"/>
      <c r="N117" s="146"/>
      <c r="O117" s="113"/>
      <c r="P117" s="147"/>
      <c r="Q117" s="23"/>
      <c r="R117" s="23"/>
      <c r="S117" s="8">
        <f t="shared" si="43"/>
        <v>7</v>
      </c>
      <c r="U117" s="8">
        <f t="shared" si="42"/>
        <v>0</v>
      </c>
    </row>
    <row r="118" spans="1:21" ht="15.75" hidden="1" customHeight="1">
      <c r="A118" s="136" t="str">
        <f t="shared" si="39"/>
        <v/>
      </c>
      <c r="B118" s="137" t="str">
        <f t="shared" si="40"/>
        <v/>
      </c>
      <c r="C118" s="135" t="str">
        <f t="shared" si="41"/>
        <v/>
      </c>
      <c r="D118" s="113"/>
      <c r="E118" s="92"/>
      <c r="F118" s="92"/>
      <c r="G118" s="92"/>
      <c r="H118" s="113"/>
      <c r="I118" s="80"/>
      <c r="J118" s="80"/>
      <c r="K118" s="83"/>
      <c r="L118" s="82"/>
      <c r="M118" s="113"/>
      <c r="N118" s="146"/>
      <c r="O118" s="113"/>
      <c r="P118" s="147"/>
      <c r="Q118" s="23"/>
      <c r="R118" s="23"/>
      <c r="S118" s="8">
        <f t="shared" si="43"/>
        <v>8</v>
      </c>
      <c r="U118" s="8">
        <f t="shared" si="42"/>
        <v>0</v>
      </c>
    </row>
    <row r="119" spans="1:21" ht="15.75" hidden="1" customHeight="1">
      <c r="A119" s="136" t="str">
        <f t="shared" si="39"/>
        <v/>
      </c>
      <c r="B119" s="137" t="str">
        <f t="shared" si="40"/>
        <v/>
      </c>
      <c r="C119" s="135" t="str">
        <f t="shared" si="41"/>
        <v/>
      </c>
      <c r="D119" s="113"/>
      <c r="E119" s="92"/>
      <c r="F119" s="92"/>
      <c r="G119" s="92"/>
      <c r="H119" s="113"/>
      <c r="I119" s="80"/>
      <c r="J119" s="80"/>
      <c r="K119" s="83"/>
      <c r="L119" s="82"/>
      <c r="M119" s="113"/>
      <c r="N119" s="146"/>
      <c r="O119" s="113"/>
      <c r="P119" s="147"/>
      <c r="Q119" s="23"/>
      <c r="R119" s="23"/>
      <c r="S119" s="8">
        <f t="shared" si="43"/>
        <v>9</v>
      </c>
      <c r="U119" s="8">
        <f t="shared" si="42"/>
        <v>0</v>
      </c>
    </row>
    <row r="120" spans="1:21" ht="15.75" hidden="1" customHeight="1">
      <c r="A120" s="136" t="str">
        <f t="shared" si="39"/>
        <v/>
      </c>
      <c r="B120" s="137" t="str">
        <f t="shared" si="40"/>
        <v/>
      </c>
      <c r="C120" s="135" t="str">
        <f t="shared" si="41"/>
        <v/>
      </c>
      <c r="D120" s="113"/>
      <c r="E120" s="92"/>
      <c r="F120" s="92"/>
      <c r="G120" s="92"/>
      <c r="H120" s="113"/>
      <c r="I120" s="80"/>
      <c r="J120" s="80"/>
      <c r="K120" s="83"/>
      <c r="L120" s="82"/>
      <c r="M120" s="113"/>
      <c r="N120" s="146"/>
      <c r="O120" s="113"/>
      <c r="P120" s="147"/>
      <c r="Q120" s="23"/>
      <c r="R120" s="23"/>
      <c r="S120" s="8">
        <f t="shared" si="43"/>
        <v>10</v>
      </c>
      <c r="U120" s="8">
        <f t="shared" si="42"/>
        <v>0</v>
      </c>
    </row>
    <row r="121" spans="1:21" ht="15.75" hidden="1" customHeight="1">
      <c r="A121" s="136" t="str">
        <f t="shared" si="39"/>
        <v/>
      </c>
      <c r="B121" s="137" t="str">
        <f t="shared" si="40"/>
        <v/>
      </c>
      <c r="C121" s="135" t="str">
        <f t="shared" si="41"/>
        <v/>
      </c>
      <c r="D121" s="113"/>
      <c r="E121" s="92"/>
      <c r="F121" s="92"/>
      <c r="G121" s="92"/>
      <c r="H121" s="113"/>
      <c r="I121" s="80"/>
      <c r="J121" s="80"/>
      <c r="K121" s="83"/>
      <c r="L121" s="82"/>
      <c r="M121" s="113"/>
      <c r="N121" s="146"/>
      <c r="O121" s="113"/>
      <c r="P121" s="147"/>
      <c r="Q121" s="23"/>
      <c r="R121" s="23"/>
      <c r="S121" s="8">
        <f t="shared" si="43"/>
        <v>11</v>
      </c>
      <c r="U121" s="8">
        <f t="shared" si="42"/>
        <v>0</v>
      </c>
    </row>
    <row r="122" spans="1:21" ht="15.75" hidden="1" customHeight="1">
      <c r="A122" s="136" t="str">
        <f t="shared" si="39"/>
        <v/>
      </c>
      <c r="B122" s="137" t="str">
        <f t="shared" si="40"/>
        <v/>
      </c>
      <c r="C122" s="135" t="str">
        <f t="shared" si="41"/>
        <v/>
      </c>
      <c r="D122" s="113"/>
      <c r="E122" s="92"/>
      <c r="F122" s="92"/>
      <c r="G122" s="92"/>
      <c r="H122" s="113"/>
      <c r="I122" s="80"/>
      <c r="J122" s="80"/>
      <c r="K122" s="83"/>
      <c r="L122" s="82"/>
      <c r="M122" s="113"/>
      <c r="N122" s="146"/>
      <c r="O122" s="113"/>
      <c r="P122" s="147"/>
      <c r="Q122" s="23"/>
      <c r="R122" s="23"/>
      <c r="S122" s="8">
        <f t="shared" si="43"/>
        <v>12</v>
      </c>
      <c r="U122" s="8">
        <f t="shared" si="42"/>
        <v>0</v>
      </c>
    </row>
    <row r="123" spans="1:21" ht="15.75" hidden="1" customHeight="1">
      <c r="A123" s="136" t="str">
        <f t="shared" si="39"/>
        <v/>
      </c>
      <c r="B123" s="137" t="str">
        <f t="shared" si="40"/>
        <v/>
      </c>
      <c r="C123" s="135" t="str">
        <f t="shared" si="41"/>
        <v/>
      </c>
      <c r="D123" s="113"/>
      <c r="E123" s="92"/>
      <c r="F123" s="92"/>
      <c r="G123" s="92"/>
      <c r="H123" s="113"/>
      <c r="I123" s="80"/>
      <c r="J123" s="80"/>
      <c r="K123" s="83"/>
      <c r="L123" s="82"/>
      <c r="M123" s="113"/>
      <c r="N123" s="146"/>
      <c r="O123" s="113"/>
      <c r="P123" s="147"/>
      <c r="Q123" s="23"/>
      <c r="R123" s="23"/>
      <c r="S123" s="8">
        <f t="shared" si="43"/>
        <v>13</v>
      </c>
      <c r="U123" s="8">
        <f t="shared" si="42"/>
        <v>0</v>
      </c>
    </row>
    <row r="124" spans="1:21" ht="15.75" hidden="1" customHeight="1">
      <c r="A124" s="136" t="str">
        <f t="shared" si="39"/>
        <v/>
      </c>
      <c r="B124" s="137" t="str">
        <f t="shared" si="40"/>
        <v/>
      </c>
      <c r="C124" s="135" t="str">
        <f t="shared" si="41"/>
        <v/>
      </c>
      <c r="D124" s="113"/>
      <c r="E124" s="92"/>
      <c r="F124" s="92"/>
      <c r="G124" s="92"/>
      <c r="H124" s="113"/>
      <c r="I124" s="80"/>
      <c r="J124" s="80"/>
      <c r="K124" s="83"/>
      <c r="L124" s="82"/>
      <c r="M124" s="113"/>
      <c r="N124" s="146"/>
      <c r="O124" s="113"/>
      <c r="P124" s="147"/>
      <c r="Q124" s="23"/>
      <c r="R124" s="23"/>
      <c r="S124" s="8">
        <f t="shared" si="43"/>
        <v>14</v>
      </c>
      <c r="U124" s="8">
        <f t="shared" si="42"/>
        <v>0</v>
      </c>
    </row>
    <row r="125" spans="1:21" ht="15.75" hidden="1" customHeight="1">
      <c r="A125" s="136" t="str">
        <f t="shared" si="39"/>
        <v/>
      </c>
      <c r="B125" s="137" t="str">
        <f t="shared" si="40"/>
        <v/>
      </c>
      <c r="C125" s="135" t="str">
        <f t="shared" si="41"/>
        <v/>
      </c>
      <c r="D125" s="113"/>
      <c r="E125" s="92"/>
      <c r="F125" s="92"/>
      <c r="G125" s="92"/>
      <c r="H125" s="113"/>
      <c r="I125" s="80"/>
      <c r="J125" s="80"/>
      <c r="K125" s="83"/>
      <c r="L125" s="82"/>
      <c r="M125" s="113"/>
      <c r="N125" s="146"/>
      <c r="O125" s="113"/>
      <c r="P125" s="147"/>
      <c r="Q125" s="23"/>
      <c r="R125" s="23"/>
      <c r="S125" s="8">
        <f t="shared" si="43"/>
        <v>15</v>
      </c>
      <c r="U125" s="8">
        <f t="shared" si="42"/>
        <v>0</v>
      </c>
    </row>
    <row r="126" spans="1:21" ht="15.75" hidden="1" customHeight="1">
      <c r="A126" s="136" t="str">
        <f t="shared" si="39"/>
        <v/>
      </c>
      <c r="B126" s="137" t="str">
        <f t="shared" si="40"/>
        <v/>
      </c>
      <c r="C126" s="135" t="str">
        <f t="shared" si="41"/>
        <v/>
      </c>
      <c r="D126" s="113"/>
      <c r="E126" s="92"/>
      <c r="F126" s="92"/>
      <c r="G126" s="92"/>
      <c r="H126" s="113"/>
      <c r="I126" s="80"/>
      <c r="J126" s="80"/>
      <c r="K126" s="83"/>
      <c r="L126" s="82"/>
      <c r="M126" s="113"/>
      <c r="N126" s="146"/>
      <c r="O126" s="113"/>
      <c r="P126" s="147"/>
      <c r="Q126" s="23"/>
      <c r="R126" s="23"/>
      <c r="S126" s="8">
        <f t="shared" si="43"/>
        <v>16</v>
      </c>
      <c r="U126" s="8">
        <f t="shared" si="42"/>
        <v>0</v>
      </c>
    </row>
    <row r="127" spans="1:21" ht="15.75" hidden="1" customHeight="1">
      <c r="A127" s="136" t="str">
        <f t="shared" si="39"/>
        <v/>
      </c>
      <c r="B127" s="137" t="str">
        <f t="shared" si="40"/>
        <v/>
      </c>
      <c r="C127" s="135" t="str">
        <f t="shared" si="41"/>
        <v/>
      </c>
      <c r="D127" s="113"/>
      <c r="E127" s="92"/>
      <c r="F127" s="92"/>
      <c r="G127" s="92"/>
      <c r="H127" s="113"/>
      <c r="I127" s="80"/>
      <c r="J127" s="80"/>
      <c r="K127" s="83"/>
      <c r="L127" s="82"/>
      <c r="M127" s="113"/>
      <c r="N127" s="146"/>
      <c r="O127" s="113"/>
      <c r="P127" s="147"/>
      <c r="Q127" s="23"/>
      <c r="R127" s="23"/>
      <c r="S127" s="8">
        <f t="shared" si="43"/>
        <v>17</v>
      </c>
      <c r="U127" s="8">
        <f t="shared" si="42"/>
        <v>0</v>
      </c>
    </row>
    <row r="128" spans="1:21" ht="15.75" hidden="1" customHeight="1">
      <c r="A128" s="136" t="str">
        <f t="shared" si="39"/>
        <v/>
      </c>
      <c r="B128" s="137" t="str">
        <f t="shared" si="40"/>
        <v/>
      </c>
      <c r="C128" s="135" t="str">
        <f t="shared" si="41"/>
        <v/>
      </c>
      <c r="D128" s="113"/>
      <c r="E128" s="92"/>
      <c r="F128" s="92"/>
      <c r="G128" s="92"/>
      <c r="H128" s="113"/>
      <c r="I128" s="80"/>
      <c r="J128" s="80"/>
      <c r="K128" s="83"/>
      <c r="L128" s="82"/>
      <c r="M128" s="113"/>
      <c r="N128" s="146"/>
      <c r="O128" s="113"/>
      <c r="P128" s="147"/>
      <c r="Q128" s="23"/>
      <c r="R128" s="23"/>
      <c r="S128" s="8">
        <f t="shared" si="43"/>
        <v>18</v>
      </c>
      <c r="U128" s="8">
        <f t="shared" si="42"/>
        <v>0</v>
      </c>
    </row>
    <row r="129" spans="1:21" ht="15.75" hidden="1" customHeight="1">
      <c r="A129" s="136" t="str">
        <f t="shared" si="39"/>
        <v/>
      </c>
      <c r="B129" s="137" t="str">
        <f t="shared" si="40"/>
        <v/>
      </c>
      <c r="C129" s="135" t="str">
        <f t="shared" si="41"/>
        <v/>
      </c>
      <c r="D129" s="113"/>
      <c r="E129" s="92"/>
      <c r="F129" s="92"/>
      <c r="G129" s="92"/>
      <c r="H129" s="113"/>
      <c r="I129" s="80"/>
      <c r="J129" s="80"/>
      <c r="K129" s="83"/>
      <c r="L129" s="82"/>
      <c r="M129" s="113"/>
      <c r="N129" s="146"/>
      <c r="O129" s="113"/>
      <c r="P129" s="147"/>
      <c r="Q129" s="23"/>
      <c r="R129" s="23"/>
      <c r="S129" s="8">
        <f t="shared" si="43"/>
        <v>19</v>
      </c>
      <c r="U129" s="8">
        <f t="shared" si="42"/>
        <v>0</v>
      </c>
    </row>
    <row r="130" spans="1:21" ht="15.75" hidden="1" customHeight="1">
      <c r="A130" s="136" t="str">
        <f t="shared" si="39"/>
        <v/>
      </c>
      <c r="B130" s="137" t="str">
        <f t="shared" si="40"/>
        <v/>
      </c>
      <c r="C130" s="135" t="str">
        <f t="shared" si="41"/>
        <v/>
      </c>
      <c r="D130" s="113"/>
      <c r="E130" s="92"/>
      <c r="F130" s="92"/>
      <c r="G130" s="92"/>
      <c r="H130" s="113"/>
      <c r="I130" s="80"/>
      <c r="J130" s="80"/>
      <c r="K130" s="83"/>
      <c r="L130" s="82"/>
      <c r="M130" s="113"/>
      <c r="N130" s="146"/>
      <c r="O130" s="113"/>
      <c r="P130" s="147"/>
      <c r="Q130" s="23"/>
      <c r="R130" s="23"/>
      <c r="S130" s="8">
        <f t="shared" si="43"/>
        <v>20</v>
      </c>
      <c r="U130" s="8">
        <f t="shared" si="42"/>
        <v>0</v>
      </c>
    </row>
    <row r="131" spans="1:21" ht="15.75" hidden="1" customHeight="1">
      <c r="A131" s="136" t="str">
        <f t="shared" si="39"/>
        <v/>
      </c>
      <c r="B131" s="137" t="str">
        <f t="shared" si="40"/>
        <v/>
      </c>
      <c r="C131" s="135" t="str">
        <f t="shared" si="41"/>
        <v/>
      </c>
      <c r="D131" s="113"/>
      <c r="E131" s="92"/>
      <c r="F131" s="92"/>
      <c r="G131" s="92"/>
      <c r="H131" s="113"/>
      <c r="I131" s="80"/>
      <c r="J131" s="80"/>
      <c r="K131" s="83"/>
      <c r="L131" s="82"/>
      <c r="M131" s="113"/>
      <c r="N131" s="146"/>
      <c r="O131" s="113"/>
      <c r="P131" s="147"/>
      <c r="Q131" s="23"/>
      <c r="R131" s="23"/>
      <c r="S131" s="8">
        <f t="shared" si="43"/>
        <v>21</v>
      </c>
      <c r="U131" s="8">
        <f t="shared" si="42"/>
        <v>0</v>
      </c>
    </row>
    <row r="132" spans="1:21" ht="15.75" hidden="1" customHeight="1">
      <c r="A132" s="136" t="str">
        <f t="shared" si="39"/>
        <v/>
      </c>
      <c r="B132" s="137" t="str">
        <f t="shared" si="40"/>
        <v/>
      </c>
      <c r="C132" s="135" t="str">
        <f t="shared" si="41"/>
        <v/>
      </c>
      <c r="D132" s="113"/>
      <c r="E132" s="92"/>
      <c r="F132" s="92"/>
      <c r="G132" s="92"/>
      <c r="H132" s="113"/>
      <c r="I132" s="80"/>
      <c r="J132" s="80"/>
      <c r="K132" s="83"/>
      <c r="L132" s="82"/>
      <c r="M132" s="113"/>
      <c r="N132" s="146"/>
      <c r="O132" s="113"/>
      <c r="P132" s="147"/>
      <c r="Q132" s="23"/>
      <c r="R132" s="23"/>
      <c r="S132" s="8">
        <f t="shared" si="43"/>
        <v>22</v>
      </c>
      <c r="U132" s="8">
        <f t="shared" si="42"/>
        <v>0</v>
      </c>
    </row>
    <row r="133" spans="1:21" ht="15.75" hidden="1" customHeight="1">
      <c r="A133" s="136" t="str">
        <f t="shared" si="39"/>
        <v/>
      </c>
      <c r="B133" s="137" t="str">
        <f t="shared" si="40"/>
        <v/>
      </c>
      <c r="C133" s="135" t="str">
        <f t="shared" si="41"/>
        <v/>
      </c>
      <c r="D133" s="113"/>
      <c r="E133" s="92"/>
      <c r="F133" s="92"/>
      <c r="G133" s="92"/>
      <c r="H133" s="113"/>
      <c r="I133" s="80"/>
      <c r="J133" s="80"/>
      <c r="K133" s="83"/>
      <c r="L133" s="82"/>
      <c r="M133" s="113"/>
      <c r="N133" s="146"/>
      <c r="O133" s="113"/>
      <c r="P133" s="147"/>
      <c r="Q133" s="23"/>
      <c r="R133" s="23"/>
      <c r="S133" s="8">
        <f t="shared" si="43"/>
        <v>23</v>
      </c>
      <c r="U133" s="8">
        <f t="shared" si="42"/>
        <v>0</v>
      </c>
    </row>
    <row r="134" spans="1:21" ht="15.75" hidden="1" customHeight="1">
      <c r="A134" s="136" t="str">
        <f t="shared" si="39"/>
        <v/>
      </c>
      <c r="B134" s="137" t="str">
        <f t="shared" si="40"/>
        <v/>
      </c>
      <c r="C134" s="135" t="str">
        <f t="shared" si="41"/>
        <v/>
      </c>
      <c r="D134" s="113"/>
      <c r="E134" s="92"/>
      <c r="F134" s="92"/>
      <c r="G134" s="92"/>
      <c r="H134" s="113"/>
      <c r="I134" s="80"/>
      <c r="J134" s="80"/>
      <c r="K134" s="83"/>
      <c r="L134" s="82"/>
      <c r="M134" s="113"/>
      <c r="N134" s="146"/>
      <c r="O134" s="113"/>
      <c r="P134" s="147"/>
      <c r="Q134" s="23"/>
      <c r="R134" s="23"/>
      <c r="S134" s="8">
        <f t="shared" si="43"/>
        <v>24</v>
      </c>
      <c r="U134" s="8">
        <f t="shared" si="42"/>
        <v>0</v>
      </c>
    </row>
    <row r="135" spans="1:21" ht="15.75" hidden="1" customHeight="1">
      <c r="A135" s="136" t="str">
        <f t="shared" si="39"/>
        <v/>
      </c>
      <c r="B135" s="137" t="str">
        <f t="shared" si="40"/>
        <v/>
      </c>
      <c r="C135" s="135" t="str">
        <f t="shared" si="41"/>
        <v/>
      </c>
      <c r="D135" s="113"/>
      <c r="E135" s="92"/>
      <c r="F135" s="92"/>
      <c r="G135" s="92"/>
      <c r="H135" s="113"/>
      <c r="I135" s="80"/>
      <c r="J135" s="80"/>
      <c r="K135" s="83"/>
      <c r="L135" s="82"/>
      <c r="M135" s="113"/>
      <c r="N135" s="146"/>
      <c r="O135" s="113"/>
      <c r="P135" s="147"/>
      <c r="Q135" s="23"/>
      <c r="R135" s="23"/>
      <c r="S135" s="8">
        <f t="shared" si="43"/>
        <v>25</v>
      </c>
      <c r="U135" s="8">
        <f t="shared" si="42"/>
        <v>0</v>
      </c>
    </row>
    <row r="136" spans="1:21" ht="15.75" hidden="1" customHeight="1">
      <c r="A136" s="136" t="str">
        <f t="shared" si="39"/>
        <v/>
      </c>
      <c r="B136" s="137" t="str">
        <f t="shared" si="40"/>
        <v/>
      </c>
      <c r="C136" s="135" t="str">
        <f t="shared" si="41"/>
        <v/>
      </c>
      <c r="D136" s="113"/>
      <c r="E136" s="92"/>
      <c r="F136" s="92"/>
      <c r="G136" s="92"/>
      <c r="H136" s="113"/>
      <c r="I136" s="80"/>
      <c r="J136" s="80"/>
      <c r="K136" s="83"/>
      <c r="L136" s="82"/>
      <c r="M136" s="113"/>
      <c r="N136" s="146"/>
      <c r="O136" s="113"/>
      <c r="P136" s="147"/>
      <c r="Q136" s="23"/>
      <c r="R136" s="23"/>
      <c r="S136" s="8">
        <f t="shared" si="43"/>
        <v>26</v>
      </c>
      <c r="U136" s="8">
        <f t="shared" si="42"/>
        <v>0</v>
      </c>
    </row>
    <row r="137" spans="1:21" ht="15.75" hidden="1" customHeight="1">
      <c r="A137" s="136" t="str">
        <f t="shared" si="39"/>
        <v/>
      </c>
      <c r="B137" s="137" t="str">
        <f t="shared" si="40"/>
        <v/>
      </c>
      <c r="C137" s="135" t="str">
        <f t="shared" si="41"/>
        <v/>
      </c>
      <c r="D137" s="113"/>
      <c r="E137" s="92"/>
      <c r="F137" s="92"/>
      <c r="G137" s="92"/>
      <c r="H137" s="113"/>
      <c r="I137" s="80"/>
      <c r="J137" s="80"/>
      <c r="K137" s="83"/>
      <c r="L137" s="82"/>
      <c r="M137" s="113"/>
      <c r="N137" s="146"/>
      <c r="O137" s="113"/>
      <c r="P137" s="147"/>
      <c r="Q137" s="23"/>
      <c r="R137" s="23"/>
      <c r="S137" s="8">
        <f t="shared" si="43"/>
        <v>27</v>
      </c>
      <c r="U137" s="8">
        <f t="shared" si="42"/>
        <v>0</v>
      </c>
    </row>
    <row r="138" spans="1:21" ht="15.75" hidden="1" customHeight="1">
      <c r="A138" s="136" t="str">
        <f t="shared" si="39"/>
        <v/>
      </c>
      <c r="B138" s="137" t="str">
        <f t="shared" si="40"/>
        <v/>
      </c>
      <c r="C138" s="135" t="str">
        <f t="shared" si="41"/>
        <v/>
      </c>
      <c r="D138" s="113"/>
      <c r="E138" s="92"/>
      <c r="F138" s="92"/>
      <c r="G138" s="92"/>
      <c r="H138" s="113"/>
      <c r="I138" s="80"/>
      <c r="J138" s="80"/>
      <c r="K138" s="83"/>
      <c r="L138" s="82"/>
      <c r="M138" s="113"/>
      <c r="N138" s="146"/>
      <c r="O138" s="113"/>
      <c r="P138" s="147"/>
      <c r="Q138" s="23"/>
      <c r="R138" s="23"/>
      <c r="S138" s="8">
        <f t="shared" si="43"/>
        <v>28</v>
      </c>
      <c r="U138" s="8">
        <f t="shared" si="42"/>
        <v>0</v>
      </c>
    </row>
    <row r="139" spans="1:21" ht="15.75" hidden="1" customHeight="1">
      <c r="A139" s="136" t="str">
        <f t="shared" si="39"/>
        <v/>
      </c>
      <c r="B139" s="137" t="str">
        <f t="shared" si="40"/>
        <v/>
      </c>
      <c r="C139" s="135" t="str">
        <f t="shared" si="41"/>
        <v/>
      </c>
      <c r="D139" s="113"/>
      <c r="E139" s="92"/>
      <c r="F139" s="92"/>
      <c r="G139" s="92"/>
      <c r="H139" s="113"/>
      <c r="I139" s="80"/>
      <c r="J139" s="80"/>
      <c r="K139" s="83"/>
      <c r="L139" s="82"/>
      <c r="M139" s="113"/>
      <c r="N139" s="146"/>
      <c r="O139" s="113"/>
      <c r="P139" s="147"/>
      <c r="Q139" s="23"/>
      <c r="R139" s="23"/>
      <c r="S139" s="8">
        <f t="shared" si="43"/>
        <v>29</v>
      </c>
      <c r="U139" s="8">
        <f t="shared" si="42"/>
        <v>0</v>
      </c>
    </row>
    <row r="140" spans="1:21" ht="15.75" hidden="1" customHeight="1">
      <c r="A140" s="136" t="str">
        <f t="shared" si="39"/>
        <v/>
      </c>
      <c r="B140" s="137" t="str">
        <f t="shared" si="40"/>
        <v/>
      </c>
      <c r="C140" s="135" t="str">
        <f t="shared" si="41"/>
        <v/>
      </c>
      <c r="D140" s="113"/>
      <c r="E140" s="92"/>
      <c r="F140" s="92"/>
      <c r="G140" s="92"/>
      <c r="H140" s="113"/>
      <c r="I140" s="80"/>
      <c r="J140" s="80"/>
      <c r="K140" s="83"/>
      <c r="L140" s="82"/>
      <c r="M140" s="113"/>
      <c r="N140" s="146"/>
      <c r="O140" s="113"/>
      <c r="P140" s="147"/>
      <c r="Q140" s="23"/>
      <c r="R140" s="23"/>
      <c r="S140" s="8">
        <f t="shared" si="43"/>
        <v>30</v>
      </c>
      <c r="U140" s="8">
        <f t="shared" si="42"/>
        <v>0</v>
      </c>
    </row>
    <row r="141" spans="1:21" ht="15.75" hidden="1" customHeight="1">
      <c r="A141" s="136" t="str">
        <f t="shared" si="39"/>
        <v/>
      </c>
      <c r="B141" s="137" t="str">
        <f t="shared" si="40"/>
        <v/>
      </c>
      <c r="C141" s="135" t="str">
        <f t="shared" si="41"/>
        <v/>
      </c>
      <c r="D141" s="113"/>
      <c r="E141" s="92"/>
      <c r="F141" s="92"/>
      <c r="G141" s="92"/>
      <c r="H141" s="113"/>
      <c r="I141" s="80"/>
      <c r="J141" s="80"/>
      <c r="K141" s="83"/>
      <c r="L141" s="82"/>
      <c r="M141" s="113"/>
      <c r="N141" s="146"/>
      <c r="O141" s="113"/>
      <c r="P141" s="147"/>
      <c r="Q141" s="23"/>
      <c r="R141" s="23"/>
      <c r="S141" s="8">
        <f t="shared" si="43"/>
        <v>31</v>
      </c>
      <c r="U141" s="8">
        <f t="shared" si="42"/>
        <v>0</v>
      </c>
    </row>
    <row r="142" spans="1:21" ht="15.75" hidden="1" customHeight="1">
      <c r="A142" s="136" t="str">
        <f t="shared" si="39"/>
        <v/>
      </c>
      <c r="B142" s="137" t="str">
        <f t="shared" si="40"/>
        <v/>
      </c>
      <c r="C142" s="135" t="str">
        <f t="shared" si="41"/>
        <v/>
      </c>
      <c r="D142" s="113"/>
      <c r="E142" s="92"/>
      <c r="F142" s="92"/>
      <c r="G142" s="92"/>
      <c r="H142" s="113"/>
      <c r="I142" s="80"/>
      <c r="J142" s="80"/>
      <c r="K142" s="83"/>
      <c r="L142" s="82"/>
      <c r="M142" s="113"/>
      <c r="N142" s="146"/>
      <c r="O142" s="113"/>
      <c r="P142" s="147"/>
      <c r="Q142" s="23"/>
      <c r="R142" s="23"/>
      <c r="S142" s="8">
        <f t="shared" si="43"/>
        <v>32</v>
      </c>
      <c r="U142" s="8">
        <f t="shared" si="42"/>
        <v>0</v>
      </c>
    </row>
    <row r="143" spans="1:21" ht="15.75" hidden="1" customHeight="1">
      <c r="A143" s="136" t="str">
        <f t="shared" si="39"/>
        <v/>
      </c>
      <c r="B143" s="137" t="str">
        <f t="shared" si="40"/>
        <v/>
      </c>
      <c r="C143" s="135" t="str">
        <f t="shared" si="41"/>
        <v/>
      </c>
      <c r="D143" s="113"/>
      <c r="E143" s="92"/>
      <c r="F143" s="92"/>
      <c r="G143" s="92"/>
      <c r="H143" s="113"/>
      <c r="I143" s="80"/>
      <c r="J143" s="80"/>
      <c r="K143" s="83"/>
      <c r="L143" s="82"/>
      <c r="M143" s="113"/>
      <c r="N143" s="146"/>
      <c r="O143" s="113"/>
      <c r="P143" s="147"/>
      <c r="Q143" s="23"/>
      <c r="R143" s="23"/>
      <c r="S143" s="8">
        <f t="shared" si="43"/>
        <v>33</v>
      </c>
      <c r="U143" s="8">
        <f t="shared" si="42"/>
        <v>0</v>
      </c>
    </row>
    <row r="144" spans="1:21" ht="15.75" hidden="1" customHeight="1">
      <c r="A144" s="136" t="str">
        <f t="shared" ref="A144:A175" si="44">+IF($U144=1,INDEX(ChangeData,$S144,1),"")</f>
        <v/>
      </c>
      <c r="B144" s="137" t="str">
        <f t="shared" ref="B144:B175" si="45">+IF($U144=1,INDEX(ChangeData,$S144,3),"")</f>
        <v/>
      </c>
      <c r="C144" s="135" t="str">
        <f t="shared" ref="C144:C175" si="46">+IF($U144=1,INDEX(ChangeData,$S144,4),"")</f>
        <v/>
      </c>
      <c r="D144" s="113"/>
      <c r="E144" s="92"/>
      <c r="F144" s="92"/>
      <c r="G144" s="92"/>
      <c r="H144" s="113"/>
      <c r="I144" s="80"/>
      <c r="J144" s="80"/>
      <c r="K144" s="83"/>
      <c r="L144" s="82"/>
      <c r="M144" s="113"/>
      <c r="N144" s="146"/>
      <c r="O144" s="113"/>
      <c r="P144" s="147"/>
      <c r="Q144" s="23"/>
      <c r="R144" s="23"/>
      <c r="S144" s="8">
        <f t="shared" si="43"/>
        <v>34</v>
      </c>
      <c r="U144" s="8">
        <f t="shared" ref="U144:U175" si="47">IF(LEN(INDEX(ChangeData,S144,1))&gt;0,1,0)</f>
        <v>0</v>
      </c>
    </row>
    <row r="145" spans="1:21" ht="15.75" hidden="1" customHeight="1">
      <c r="A145" s="136" t="str">
        <f t="shared" si="44"/>
        <v/>
      </c>
      <c r="B145" s="137" t="str">
        <f t="shared" si="45"/>
        <v/>
      </c>
      <c r="C145" s="135" t="str">
        <f t="shared" si="46"/>
        <v/>
      </c>
      <c r="D145" s="113"/>
      <c r="E145" s="92"/>
      <c r="F145" s="92"/>
      <c r="G145" s="92"/>
      <c r="H145" s="113"/>
      <c r="I145" s="80"/>
      <c r="J145" s="80"/>
      <c r="K145" s="83"/>
      <c r="L145" s="82"/>
      <c r="M145" s="113"/>
      <c r="N145" s="146"/>
      <c r="O145" s="113"/>
      <c r="P145" s="147"/>
      <c r="Q145" s="23"/>
      <c r="R145" s="23"/>
      <c r="S145" s="8">
        <f t="shared" si="43"/>
        <v>35</v>
      </c>
      <c r="U145" s="8">
        <f t="shared" si="47"/>
        <v>0</v>
      </c>
    </row>
    <row r="146" spans="1:21" ht="15.75" hidden="1" customHeight="1">
      <c r="A146" s="136" t="str">
        <f t="shared" si="44"/>
        <v/>
      </c>
      <c r="B146" s="137" t="str">
        <f t="shared" si="45"/>
        <v/>
      </c>
      <c r="C146" s="135" t="str">
        <f t="shared" si="46"/>
        <v/>
      </c>
      <c r="D146" s="113"/>
      <c r="E146" s="92"/>
      <c r="F146" s="92"/>
      <c r="G146" s="92"/>
      <c r="H146" s="113"/>
      <c r="I146" s="80"/>
      <c r="J146" s="80"/>
      <c r="K146" s="83"/>
      <c r="L146" s="82"/>
      <c r="M146" s="113"/>
      <c r="N146" s="146"/>
      <c r="O146" s="113"/>
      <c r="P146" s="147"/>
      <c r="Q146" s="23"/>
      <c r="R146" s="23"/>
      <c r="S146" s="8">
        <f t="shared" si="43"/>
        <v>36</v>
      </c>
      <c r="U146" s="8">
        <f t="shared" si="47"/>
        <v>0</v>
      </c>
    </row>
    <row r="147" spans="1:21" ht="15.75" hidden="1" customHeight="1">
      <c r="A147" s="136" t="str">
        <f t="shared" si="44"/>
        <v/>
      </c>
      <c r="B147" s="137" t="str">
        <f t="shared" si="45"/>
        <v/>
      </c>
      <c r="C147" s="135" t="str">
        <f t="shared" si="46"/>
        <v/>
      </c>
      <c r="D147" s="113"/>
      <c r="E147" s="92"/>
      <c r="F147" s="92"/>
      <c r="G147" s="92"/>
      <c r="H147" s="113"/>
      <c r="I147" s="80"/>
      <c r="J147" s="80"/>
      <c r="K147" s="83"/>
      <c r="L147" s="82"/>
      <c r="M147" s="113"/>
      <c r="N147" s="146"/>
      <c r="O147" s="113"/>
      <c r="P147" s="147"/>
      <c r="Q147" s="23"/>
      <c r="R147" s="23"/>
      <c r="S147" s="8">
        <f t="shared" si="43"/>
        <v>37</v>
      </c>
      <c r="U147" s="8">
        <f t="shared" si="47"/>
        <v>0</v>
      </c>
    </row>
    <row r="148" spans="1:21" ht="15.75" hidden="1" customHeight="1">
      <c r="A148" s="136" t="str">
        <f t="shared" si="44"/>
        <v/>
      </c>
      <c r="B148" s="137" t="str">
        <f t="shared" si="45"/>
        <v/>
      </c>
      <c r="C148" s="135" t="str">
        <f t="shared" si="46"/>
        <v/>
      </c>
      <c r="D148" s="113"/>
      <c r="E148" s="92"/>
      <c r="F148" s="92"/>
      <c r="G148" s="92"/>
      <c r="H148" s="113"/>
      <c r="I148" s="80"/>
      <c r="J148" s="80"/>
      <c r="K148" s="83"/>
      <c r="L148" s="82"/>
      <c r="M148" s="113"/>
      <c r="N148" s="146"/>
      <c r="O148" s="113"/>
      <c r="P148" s="147"/>
      <c r="Q148" s="23"/>
      <c r="R148" s="23"/>
      <c r="S148" s="8">
        <f t="shared" si="43"/>
        <v>38</v>
      </c>
      <c r="U148" s="8">
        <f t="shared" si="47"/>
        <v>0</v>
      </c>
    </row>
    <row r="149" spans="1:21" ht="15.75" hidden="1" customHeight="1">
      <c r="A149" s="136" t="str">
        <f t="shared" si="44"/>
        <v/>
      </c>
      <c r="B149" s="137" t="str">
        <f t="shared" si="45"/>
        <v/>
      </c>
      <c r="C149" s="135" t="str">
        <f t="shared" si="46"/>
        <v/>
      </c>
      <c r="D149" s="113"/>
      <c r="E149" s="92"/>
      <c r="F149" s="92"/>
      <c r="G149" s="92"/>
      <c r="H149" s="113"/>
      <c r="I149" s="80"/>
      <c r="J149" s="80"/>
      <c r="K149" s="83"/>
      <c r="L149" s="82"/>
      <c r="M149" s="113"/>
      <c r="N149" s="146"/>
      <c r="O149" s="113"/>
      <c r="P149" s="147"/>
      <c r="Q149" s="23"/>
      <c r="R149" s="23"/>
      <c r="S149" s="8">
        <f t="shared" si="43"/>
        <v>39</v>
      </c>
      <c r="U149" s="8">
        <f t="shared" si="47"/>
        <v>0</v>
      </c>
    </row>
    <row r="150" spans="1:21" ht="15.75" hidden="1" customHeight="1">
      <c r="A150" s="136" t="str">
        <f t="shared" si="44"/>
        <v/>
      </c>
      <c r="B150" s="137" t="str">
        <f t="shared" si="45"/>
        <v/>
      </c>
      <c r="C150" s="135" t="str">
        <f t="shared" si="46"/>
        <v/>
      </c>
      <c r="D150" s="113"/>
      <c r="E150" s="92"/>
      <c r="F150" s="92"/>
      <c r="G150" s="92"/>
      <c r="H150" s="113"/>
      <c r="I150" s="80"/>
      <c r="J150" s="80"/>
      <c r="K150" s="83"/>
      <c r="L150" s="82"/>
      <c r="M150" s="113"/>
      <c r="N150" s="146"/>
      <c r="O150" s="113"/>
      <c r="P150" s="147"/>
      <c r="Q150" s="23"/>
      <c r="R150" s="23"/>
      <c r="S150" s="8">
        <f t="shared" si="43"/>
        <v>40</v>
      </c>
      <c r="U150" s="8">
        <f t="shared" si="47"/>
        <v>0</v>
      </c>
    </row>
    <row r="151" spans="1:21" ht="15.75" hidden="1" customHeight="1">
      <c r="A151" s="136" t="str">
        <f t="shared" si="44"/>
        <v/>
      </c>
      <c r="B151" s="137" t="str">
        <f t="shared" si="45"/>
        <v/>
      </c>
      <c r="C151" s="135" t="str">
        <f t="shared" si="46"/>
        <v/>
      </c>
      <c r="D151" s="113"/>
      <c r="E151" s="92"/>
      <c r="F151" s="92"/>
      <c r="G151" s="92"/>
      <c r="H151" s="113"/>
      <c r="I151" s="80"/>
      <c r="J151" s="80"/>
      <c r="K151" s="83"/>
      <c r="L151" s="82"/>
      <c r="M151" s="113"/>
      <c r="N151" s="146"/>
      <c r="O151" s="113"/>
      <c r="P151" s="147"/>
      <c r="Q151" s="23"/>
      <c r="R151" s="23"/>
      <c r="S151" s="8">
        <f t="shared" si="43"/>
        <v>41</v>
      </c>
      <c r="U151" s="8">
        <f t="shared" si="47"/>
        <v>0</v>
      </c>
    </row>
    <row r="152" spans="1:21" ht="15.75" hidden="1" customHeight="1">
      <c r="A152" s="136" t="str">
        <f t="shared" si="44"/>
        <v/>
      </c>
      <c r="B152" s="137" t="str">
        <f t="shared" si="45"/>
        <v/>
      </c>
      <c r="C152" s="135" t="str">
        <f t="shared" si="46"/>
        <v/>
      </c>
      <c r="D152" s="113"/>
      <c r="E152" s="92"/>
      <c r="F152" s="92"/>
      <c r="G152" s="92"/>
      <c r="H152" s="113"/>
      <c r="I152" s="80"/>
      <c r="J152" s="80"/>
      <c r="K152" s="83"/>
      <c r="L152" s="82"/>
      <c r="M152" s="113"/>
      <c r="N152" s="146"/>
      <c r="O152" s="113"/>
      <c r="P152" s="147"/>
      <c r="Q152" s="23"/>
      <c r="R152" s="23"/>
      <c r="S152" s="8">
        <f t="shared" si="43"/>
        <v>42</v>
      </c>
      <c r="U152" s="8">
        <f t="shared" si="47"/>
        <v>0</v>
      </c>
    </row>
    <row r="153" spans="1:21" ht="15.75" hidden="1" customHeight="1">
      <c r="A153" s="136" t="str">
        <f t="shared" si="44"/>
        <v/>
      </c>
      <c r="B153" s="137" t="str">
        <f t="shared" si="45"/>
        <v/>
      </c>
      <c r="C153" s="135" t="str">
        <f t="shared" si="46"/>
        <v/>
      </c>
      <c r="D153" s="113"/>
      <c r="E153" s="92"/>
      <c r="F153" s="92"/>
      <c r="G153" s="92"/>
      <c r="H153" s="113"/>
      <c r="I153" s="80"/>
      <c r="J153" s="80"/>
      <c r="K153" s="83"/>
      <c r="L153" s="82"/>
      <c r="M153" s="113"/>
      <c r="N153" s="146"/>
      <c r="O153" s="113"/>
      <c r="P153" s="147"/>
      <c r="Q153" s="23"/>
      <c r="R153" s="23"/>
      <c r="S153" s="8">
        <f t="shared" si="43"/>
        <v>43</v>
      </c>
      <c r="U153" s="8">
        <f t="shared" si="47"/>
        <v>0</v>
      </c>
    </row>
    <row r="154" spans="1:21" ht="15.75" hidden="1" customHeight="1">
      <c r="A154" s="136" t="str">
        <f t="shared" si="44"/>
        <v/>
      </c>
      <c r="B154" s="137" t="str">
        <f t="shared" si="45"/>
        <v/>
      </c>
      <c r="C154" s="135" t="str">
        <f t="shared" si="46"/>
        <v/>
      </c>
      <c r="D154" s="113"/>
      <c r="E154" s="92"/>
      <c r="F154" s="92"/>
      <c r="G154" s="92"/>
      <c r="H154" s="113"/>
      <c r="I154" s="80"/>
      <c r="J154" s="80"/>
      <c r="K154" s="83"/>
      <c r="L154" s="82"/>
      <c r="M154" s="113"/>
      <c r="N154" s="146"/>
      <c r="O154" s="113"/>
      <c r="P154" s="147"/>
      <c r="Q154" s="23"/>
      <c r="R154" s="23"/>
      <c r="S154" s="8">
        <f t="shared" si="43"/>
        <v>44</v>
      </c>
      <c r="U154" s="8">
        <f t="shared" si="47"/>
        <v>0</v>
      </c>
    </row>
    <row r="155" spans="1:21" ht="15.75" hidden="1" customHeight="1">
      <c r="A155" s="136" t="str">
        <f t="shared" si="44"/>
        <v/>
      </c>
      <c r="B155" s="137" t="str">
        <f t="shared" si="45"/>
        <v/>
      </c>
      <c r="C155" s="135" t="str">
        <f t="shared" si="46"/>
        <v/>
      </c>
      <c r="D155" s="113"/>
      <c r="E155" s="92"/>
      <c r="F155" s="92"/>
      <c r="G155" s="92"/>
      <c r="H155" s="113"/>
      <c r="I155" s="80"/>
      <c r="J155" s="80"/>
      <c r="K155" s="83"/>
      <c r="L155" s="82"/>
      <c r="M155" s="113"/>
      <c r="N155" s="146"/>
      <c r="O155" s="113"/>
      <c r="P155" s="147"/>
      <c r="Q155" s="23"/>
      <c r="R155" s="23"/>
      <c r="S155" s="8">
        <f t="shared" si="43"/>
        <v>45</v>
      </c>
      <c r="U155" s="8">
        <f t="shared" si="47"/>
        <v>0</v>
      </c>
    </row>
    <row r="156" spans="1:21" ht="15.75" hidden="1" customHeight="1">
      <c r="A156" s="136" t="str">
        <f t="shared" si="44"/>
        <v/>
      </c>
      <c r="B156" s="137" t="str">
        <f t="shared" si="45"/>
        <v/>
      </c>
      <c r="C156" s="135" t="str">
        <f t="shared" si="46"/>
        <v/>
      </c>
      <c r="D156" s="113"/>
      <c r="E156" s="92"/>
      <c r="F156" s="92"/>
      <c r="G156" s="92"/>
      <c r="H156" s="113"/>
      <c r="I156" s="80"/>
      <c r="J156" s="80"/>
      <c r="K156" s="83"/>
      <c r="L156" s="82"/>
      <c r="M156" s="113"/>
      <c r="N156" s="146"/>
      <c r="O156" s="113"/>
      <c r="P156" s="147"/>
      <c r="Q156" s="23"/>
      <c r="R156" s="23"/>
      <c r="S156" s="8">
        <f t="shared" si="43"/>
        <v>46</v>
      </c>
      <c r="U156" s="8">
        <f t="shared" si="47"/>
        <v>0</v>
      </c>
    </row>
    <row r="157" spans="1:21" ht="15.75" hidden="1" customHeight="1">
      <c r="A157" s="136" t="str">
        <f t="shared" si="44"/>
        <v/>
      </c>
      <c r="B157" s="137" t="str">
        <f t="shared" si="45"/>
        <v/>
      </c>
      <c r="C157" s="135" t="str">
        <f t="shared" si="46"/>
        <v/>
      </c>
      <c r="D157" s="113"/>
      <c r="E157" s="92"/>
      <c r="F157" s="92"/>
      <c r="G157" s="92"/>
      <c r="H157" s="113"/>
      <c r="I157" s="80"/>
      <c r="J157" s="80"/>
      <c r="K157" s="83"/>
      <c r="L157" s="82"/>
      <c r="M157" s="113"/>
      <c r="N157" s="146"/>
      <c r="O157" s="113"/>
      <c r="P157" s="147"/>
      <c r="Q157" s="23"/>
      <c r="R157" s="23"/>
      <c r="S157" s="8">
        <f t="shared" si="43"/>
        <v>47</v>
      </c>
      <c r="U157" s="8">
        <f t="shared" si="47"/>
        <v>0</v>
      </c>
    </row>
    <row r="158" spans="1:21" ht="15.75" hidden="1" customHeight="1">
      <c r="A158" s="136" t="str">
        <f t="shared" si="44"/>
        <v/>
      </c>
      <c r="B158" s="137" t="str">
        <f t="shared" si="45"/>
        <v/>
      </c>
      <c r="C158" s="135" t="str">
        <f t="shared" si="46"/>
        <v/>
      </c>
      <c r="D158" s="113"/>
      <c r="E158" s="92"/>
      <c r="F158" s="92"/>
      <c r="G158" s="92"/>
      <c r="H158" s="113"/>
      <c r="I158" s="80"/>
      <c r="J158" s="80"/>
      <c r="K158" s="83"/>
      <c r="L158" s="82"/>
      <c r="M158" s="113"/>
      <c r="N158" s="146"/>
      <c r="O158" s="113"/>
      <c r="P158" s="147"/>
      <c r="Q158" s="23"/>
      <c r="R158" s="23"/>
      <c r="S158" s="8">
        <f t="shared" si="43"/>
        <v>48</v>
      </c>
      <c r="U158" s="8">
        <f t="shared" si="47"/>
        <v>0</v>
      </c>
    </row>
    <row r="159" spans="1:21" ht="15.75" hidden="1" customHeight="1">
      <c r="A159" s="136" t="str">
        <f t="shared" si="44"/>
        <v/>
      </c>
      <c r="B159" s="137" t="str">
        <f t="shared" si="45"/>
        <v/>
      </c>
      <c r="C159" s="135" t="str">
        <f t="shared" si="46"/>
        <v/>
      </c>
      <c r="D159" s="113"/>
      <c r="E159" s="92"/>
      <c r="F159" s="92"/>
      <c r="G159" s="92"/>
      <c r="H159" s="113"/>
      <c r="I159" s="80"/>
      <c r="J159" s="80"/>
      <c r="K159" s="83"/>
      <c r="L159" s="82"/>
      <c r="M159" s="113"/>
      <c r="N159" s="146"/>
      <c r="O159" s="113"/>
      <c r="P159" s="147"/>
      <c r="Q159" s="23"/>
      <c r="R159" s="23"/>
      <c r="S159" s="8">
        <f t="shared" si="43"/>
        <v>49</v>
      </c>
      <c r="U159" s="8">
        <f t="shared" si="47"/>
        <v>0</v>
      </c>
    </row>
    <row r="160" spans="1:21" ht="15.75" hidden="1" customHeight="1">
      <c r="A160" s="136" t="str">
        <f t="shared" si="44"/>
        <v/>
      </c>
      <c r="B160" s="137" t="str">
        <f t="shared" si="45"/>
        <v/>
      </c>
      <c r="C160" s="135" t="str">
        <f t="shared" si="46"/>
        <v/>
      </c>
      <c r="D160" s="113"/>
      <c r="E160" s="92"/>
      <c r="F160" s="92"/>
      <c r="G160" s="92"/>
      <c r="H160" s="113"/>
      <c r="I160" s="80"/>
      <c r="J160" s="80"/>
      <c r="K160" s="83"/>
      <c r="L160" s="82"/>
      <c r="M160" s="113"/>
      <c r="N160" s="146"/>
      <c r="O160" s="113"/>
      <c r="P160" s="147"/>
      <c r="Q160" s="23"/>
      <c r="R160" s="23"/>
      <c r="S160" s="8">
        <f t="shared" si="43"/>
        <v>50</v>
      </c>
      <c r="U160" s="8">
        <f t="shared" si="47"/>
        <v>0</v>
      </c>
    </row>
    <row r="161" spans="1:21" ht="15.75" hidden="1" customHeight="1">
      <c r="A161" s="136" t="str">
        <f t="shared" si="44"/>
        <v/>
      </c>
      <c r="B161" s="137" t="str">
        <f t="shared" si="45"/>
        <v/>
      </c>
      <c r="C161" s="135" t="str">
        <f t="shared" si="46"/>
        <v/>
      </c>
      <c r="D161" s="113"/>
      <c r="E161" s="92"/>
      <c r="F161" s="92"/>
      <c r="G161" s="92"/>
      <c r="H161" s="113"/>
      <c r="I161" s="80"/>
      <c r="J161" s="80"/>
      <c r="K161" s="83"/>
      <c r="L161" s="82"/>
      <c r="M161" s="113"/>
      <c r="N161" s="146"/>
      <c r="O161" s="113"/>
      <c r="P161" s="147"/>
      <c r="Q161" s="23"/>
      <c r="R161" s="23"/>
      <c r="S161" s="8">
        <f t="shared" si="43"/>
        <v>51</v>
      </c>
      <c r="U161" s="8">
        <f t="shared" si="47"/>
        <v>0</v>
      </c>
    </row>
    <row r="162" spans="1:21" ht="15.75" hidden="1" customHeight="1">
      <c r="A162" s="136" t="str">
        <f t="shared" si="44"/>
        <v/>
      </c>
      <c r="B162" s="137" t="str">
        <f t="shared" si="45"/>
        <v/>
      </c>
      <c r="C162" s="135" t="str">
        <f t="shared" si="46"/>
        <v/>
      </c>
      <c r="D162" s="113"/>
      <c r="E162" s="92"/>
      <c r="F162" s="92"/>
      <c r="G162" s="92"/>
      <c r="H162" s="113"/>
      <c r="I162" s="80"/>
      <c r="J162" s="80"/>
      <c r="K162" s="83"/>
      <c r="L162" s="82"/>
      <c r="M162" s="113"/>
      <c r="N162" s="146"/>
      <c r="O162" s="113"/>
      <c r="P162" s="147"/>
      <c r="Q162" s="23"/>
      <c r="R162" s="23"/>
      <c r="S162" s="8">
        <f t="shared" si="43"/>
        <v>52</v>
      </c>
      <c r="U162" s="8">
        <f t="shared" si="47"/>
        <v>0</v>
      </c>
    </row>
    <row r="163" spans="1:21" ht="15.75" hidden="1" customHeight="1">
      <c r="A163" s="136" t="str">
        <f t="shared" si="44"/>
        <v/>
      </c>
      <c r="B163" s="137" t="str">
        <f t="shared" si="45"/>
        <v/>
      </c>
      <c r="C163" s="135" t="str">
        <f t="shared" si="46"/>
        <v/>
      </c>
      <c r="D163" s="113"/>
      <c r="E163" s="92"/>
      <c r="F163" s="92"/>
      <c r="G163" s="92"/>
      <c r="H163" s="113"/>
      <c r="I163" s="80"/>
      <c r="J163" s="80"/>
      <c r="K163" s="83"/>
      <c r="L163" s="82"/>
      <c r="M163" s="113"/>
      <c r="N163" s="146"/>
      <c r="O163" s="113"/>
      <c r="P163" s="147"/>
      <c r="Q163" s="23"/>
      <c r="R163" s="23"/>
      <c r="S163" s="8">
        <f t="shared" si="43"/>
        <v>53</v>
      </c>
      <c r="U163" s="8">
        <f t="shared" si="47"/>
        <v>0</v>
      </c>
    </row>
    <row r="164" spans="1:21" ht="15.75" hidden="1" customHeight="1">
      <c r="A164" s="136" t="str">
        <f t="shared" si="44"/>
        <v/>
      </c>
      <c r="B164" s="137" t="str">
        <f t="shared" si="45"/>
        <v/>
      </c>
      <c r="C164" s="135" t="str">
        <f t="shared" si="46"/>
        <v/>
      </c>
      <c r="D164" s="113"/>
      <c r="E164" s="92"/>
      <c r="F164" s="92"/>
      <c r="G164" s="92"/>
      <c r="H164" s="113"/>
      <c r="I164" s="80"/>
      <c r="J164" s="80"/>
      <c r="K164" s="83"/>
      <c r="L164" s="82"/>
      <c r="M164" s="113"/>
      <c r="N164" s="146"/>
      <c r="O164" s="113"/>
      <c r="P164" s="147"/>
      <c r="Q164" s="23"/>
      <c r="R164" s="23"/>
      <c r="S164" s="8">
        <f t="shared" si="43"/>
        <v>54</v>
      </c>
      <c r="U164" s="8">
        <f t="shared" si="47"/>
        <v>0</v>
      </c>
    </row>
    <row r="165" spans="1:21" ht="15.75" hidden="1" customHeight="1">
      <c r="A165" s="136" t="str">
        <f t="shared" si="44"/>
        <v/>
      </c>
      <c r="B165" s="137" t="str">
        <f t="shared" si="45"/>
        <v/>
      </c>
      <c r="C165" s="135" t="str">
        <f t="shared" si="46"/>
        <v/>
      </c>
      <c r="D165" s="113"/>
      <c r="E165" s="92"/>
      <c r="F165" s="92"/>
      <c r="G165" s="92"/>
      <c r="H165" s="113"/>
      <c r="I165" s="80"/>
      <c r="J165" s="80"/>
      <c r="K165" s="83"/>
      <c r="L165" s="82"/>
      <c r="M165" s="113"/>
      <c r="N165" s="146"/>
      <c r="O165" s="113"/>
      <c r="P165" s="147"/>
      <c r="Q165" s="23"/>
      <c r="R165" s="23"/>
      <c r="S165" s="8">
        <f t="shared" si="43"/>
        <v>55</v>
      </c>
      <c r="U165" s="8">
        <f t="shared" si="47"/>
        <v>0</v>
      </c>
    </row>
    <row r="166" spans="1:21" ht="15.75" hidden="1" customHeight="1">
      <c r="A166" s="136" t="str">
        <f t="shared" si="44"/>
        <v/>
      </c>
      <c r="B166" s="137" t="str">
        <f t="shared" si="45"/>
        <v/>
      </c>
      <c r="C166" s="135" t="str">
        <f t="shared" si="46"/>
        <v/>
      </c>
      <c r="D166" s="113"/>
      <c r="E166" s="92"/>
      <c r="F166" s="92"/>
      <c r="G166" s="92"/>
      <c r="H166" s="113"/>
      <c r="I166" s="80"/>
      <c r="J166" s="80"/>
      <c r="K166" s="83"/>
      <c r="L166" s="82"/>
      <c r="M166" s="113"/>
      <c r="N166" s="146"/>
      <c r="O166" s="113"/>
      <c r="P166" s="147"/>
      <c r="Q166" s="23"/>
      <c r="R166" s="23"/>
      <c r="S166" s="8">
        <f t="shared" si="43"/>
        <v>56</v>
      </c>
      <c r="U166" s="8">
        <f t="shared" si="47"/>
        <v>0</v>
      </c>
    </row>
    <row r="167" spans="1:21" ht="15.75" hidden="1" customHeight="1">
      <c r="A167" s="136" t="str">
        <f t="shared" si="44"/>
        <v/>
      </c>
      <c r="B167" s="137" t="str">
        <f t="shared" si="45"/>
        <v/>
      </c>
      <c r="C167" s="135" t="str">
        <f t="shared" si="46"/>
        <v/>
      </c>
      <c r="D167" s="113"/>
      <c r="E167" s="92"/>
      <c r="F167" s="92"/>
      <c r="G167" s="92"/>
      <c r="H167" s="113"/>
      <c r="I167" s="80"/>
      <c r="J167" s="80"/>
      <c r="K167" s="83"/>
      <c r="L167" s="82"/>
      <c r="M167" s="113"/>
      <c r="N167" s="146"/>
      <c r="O167" s="113"/>
      <c r="P167" s="147"/>
      <c r="Q167" s="23"/>
      <c r="R167" s="23"/>
      <c r="S167" s="8">
        <f t="shared" si="43"/>
        <v>57</v>
      </c>
      <c r="U167" s="8">
        <f t="shared" si="47"/>
        <v>0</v>
      </c>
    </row>
    <row r="168" spans="1:21" ht="15.75" hidden="1" customHeight="1">
      <c r="A168" s="136" t="str">
        <f t="shared" si="44"/>
        <v/>
      </c>
      <c r="B168" s="137" t="str">
        <f t="shared" si="45"/>
        <v/>
      </c>
      <c r="C168" s="135" t="str">
        <f t="shared" si="46"/>
        <v/>
      </c>
      <c r="D168" s="113"/>
      <c r="E168" s="92"/>
      <c r="F168" s="92"/>
      <c r="G168" s="92"/>
      <c r="H168" s="113"/>
      <c r="I168" s="80"/>
      <c r="J168" s="80"/>
      <c r="K168" s="83"/>
      <c r="L168" s="82"/>
      <c r="M168" s="113"/>
      <c r="N168" s="146"/>
      <c r="O168" s="113"/>
      <c r="P168" s="147"/>
      <c r="Q168" s="23"/>
      <c r="R168" s="23"/>
      <c r="S168" s="8">
        <f t="shared" si="43"/>
        <v>58</v>
      </c>
      <c r="U168" s="8">
        <f t="shared" si="47"/>
        <v>0</v>
      </c>
    </row>
    <row r="169" spans="1:21" ht="15.75" hidden="1" customHeight="1">
      <c r="A169" s="136" t="str">
        <f t="shared" si="44"/>
        <v/>
      </c>
      <c r="B169" s="137" t="str">
        <f t="shared" si="45"/>
        <v/>
      </c>
      <c r="C169" s="135" t="str">
        <f t="shared" si="46"/>
        <v/>
      </c>
      <c r="D169" s="113"/>
      <c r="E169" s="92"/>
      <c r="F169" s="92"/>
      <c r="G169" s="92"/>
      <c r="H169" s="113"/>
      <c r="I169" s="80"/>
      <c r="J169" s="80"/>
      <c r="K169" s="83"/>
      <c r="L169" s="82"/>
      <c r="M169" s="113"/>
      <c r="N169" s="146"/>
      <c r="O169" s="113"/>
      <c r="P169" s="147"/>
      <c r="Q169" s="23"/>
      <c r="R169" s="23"/>
      <c r="S169" s="8">
        <f t="shared" si="43"/>
        <v>59</v>
      </c>
      <c r="U169" s="8">
        <f t="shared" si="47"/>
        <v>0</v>
      </c>
    </row>
    <row r="170" spans="1:21" ht="15.75" hidden="1" customHeight="1">
      <c r="A170" s="136" t="str">
        <f t="shared" si="44"/>
        <v/>
      </c>
      <c r="B170" s="137" t="str">
        <f t="shared" si="45"/>
        <v/>
      </c>
      <c r="C170" s="135" t="str">
        <f t="shared" si="46"/>
        <v/>
      </c>
      <c r="D170" s="113"/>
      <c r="E170" s="92"/>
      <c r="F170" s="92"/>
      <c r="G170" s="92"/>
      <c r="H170" s="113"/>
      <c r="I170" s="80"/>
      <c r="J170" s="80"/>
      <c r="K170" s="83"/>
      <c r="L170" s="82"/>
      <c r="M170" s="113"/>
      <c r="N170" s="146"/>
      <c r="O170" s="113"/>
      <c r="P170" s="147"/>
      <c r="Q170" s="23"/>
      <c r="R170" s="23"/>
      <c r="S170" s="8">
        <f t="shared" si="43"/>
        <v>60</v>
      </c>
      <c r="U170" s="8">
        <f t="shared" si="47"/>
        <v>0</v>
      </c>
    </row>
    <row r="171" spans="1:21" ht="15.75" hidden="1" customHeight="1">
      <c r="A171" s="136" t="str">
        <f t="shared" si="44"/>
        <v/>
      </c>
      <c r="B171" s="137" t="str">
        <f t="shared" si="45"/>
        <v/>
      </c>
      <c r="C171" s="135" t="str">
        <f t="shared" si="46"/>
        <v/>
      </c>
      <c r="D171" s="113"/>
      <c r="E171" s="92"/>
      <c r="F171" s="92"/>
      <c r="G171" s="92"/>
      <c r="H171" s="113"/>
      <c r="I171" s="80"/>
      <c r="J171" s="80"/>
      <c r="K171" s="83"/>
      <c r="L171" s="82"/>
      <c r="M171" s="113"/>
      <c r="N171" s="146"/>
      <c r="O171" s="113"/>
      <c r="P171" s="147"/>
      <c r="Q171" s="23"/>
      <c r="R171" s="23"/>
      <c r="S171" s="8">
        <f t="shared" si="43"/>
        <v>61</v>
      </c>
      <c r="U171" s="8">
        <f t="shared" si="47"/>
        <v>0</v>
      </c>
    </row>
    <row r="172" spans="1:21" ht="15.75" hidden="1" customHeight="1">
      <c r="A172" s="136" t="str">
        <f t="shared" si="44"/>
        <v/>
      </c>
      <c r="B172" s="137" t="str">
        <f t="shared" si="45"/>
        <v/>
      </c>
      <c r="C172" s="135" t="str">
        <f t="shared" si="46"/>
        <v/>
      </c>
      <c r="D172" s="113"/>
      <c r="E172" s="92"/>
      <c r="F172" s="92"/>
      <c r="G172" s="92"/>
      <c r="H172" s="113"/>
      <c r="I172" s="80"/>
      <c r="J172" s="80"/>
      <c r="K172" s="83"/>
      <c r="L172" s="82"/>
      <c r="M172" s="113"/>
      <c r="N172" s="146"/>
      <c r="O172" s="113"/>
      <c r="P172" s="147"/>
      <c r="Q172" s="23"/>
      <c r="R172" s="23"/>
      <c r="S172" s="8">
        <f t="shared" si="43"/>
        <v>62</v>
      </c>
      <c r="U172" s="8">
        <f t="shared" si="47"/>
        <v>0</v>
      </c>
    </row>
    <row r="173" spans="1:21" ht="15.75" hidden="1" customHeight="1">
      <c r="A173" s="136" t="str">
        <f t="shared" si="44"/>
        <v/>
      </c>
      <c r="B173" s="137" t="str">
        <f t="shared" si="45"/>
        <v/>
      </c>
      <c r="C173" s="135" t="str">
        <f t="shared" si="46"/>
        <v/>
      </c>
      <c r="D173" s="113"/>
      <c r="E173" s="92"/>
      <c r="F173" s="92"/>
      <c r="G173" s="92"/>
      <c r="H173" s="113"/>
      <c r="I173" s="80"/>
      <c r="J173" s="80"/>
      <c r="K173" s="83"/>
      <c r="L173" s="82"/>
      <c r="M173" s="113"/>
      <c r="N173" s="146"/>
      <c r="O173" s="113"/>
      <c r="P173" s="147"/>
      <c r="Q173" s="23"/>
      <c r="R173" s="23"/>
      <c r="S173" s="8">
        <f t="shared" si="43"/>
        <v>63</v>
      </c>
      <c r="U173" s="8">
        <f t="shared" si="47"/>
        <v>0</v>
      </c>
    </row>
    <row r="174" spans="1:21" ht="15.75" hidden="1" customHeight="1">
      <c r="A174" s="136" t="str">
        <f t="shared" si="44"/>
        <v/>
      </c>
      <c r="B174" s="137" t="str">
        <f t="shared" si="45"/>
        <v/>
      </c>
      <c r="C174" s="135" t="str">
        <f t="shared" si="46"/>
        <v/>
      </c>
      <c r="D174" s="113"/>
      <c r="E174" s="92"/>
      <c r="F174" s="92"/>
      <c r="G174" s="92"/>
      <c r="H174" s="113"/>
      <c r="I174" s="80"/>
      <c r="J174" s="80"/>
      <c r="K174" s="83"/>
      <c r="L174" s="82"/>
      <c r="M174" s="113"/>
      <c r="N174" s="146"/>
      <c r="O174" s="113"/>
      <c r="P174" s="147"/>
      <c r="Q174" s="23"/>
      <c r="R174" s="23"/>
      <c r="S174" s="8">
        <f t="shared" si="43"/>
        <v>64</v>
      </c>
      <c r="U174" s="8">
        <f t="shared" si="47"/>
        <v>0</v>
      </c>
    </row>
    <row r="175" spans="1:21" ht="15.75" hidden="1" customHeight="1">
      <c r="A175" s="136" t="str">
        <f t="shared" si="44"/>
        <v/>
      </c>
      <c r="B175" s="137" t="str">
        <f t="shared" si="45"/>
        <v/>
      </c>
      <c r="C175" s="135" t="str">
        <f t="shared" si="46"/>
        <v/>
      </c>
      <c r="D175" s="113"/>
      <c r="E175" s="92"/>
      <c r="F175" s="92"/>
      <c r="G175" s="92"/>
      <c r="H175" s="113"/>
      <c r="I175" s="80"/>
      <c r="J175" s="80"/>
      <c r="K175" s="83"/>
      <c r="L175" s="82"/>
      <c r="M175" s="113"/>
      <c r="N175" s="146"/>
      <c r="O175" s="113"/>
      <c r="P175" s="147"/>
      <c r="Q175" s="23"/>
      <c r="R175" s="23"/>
      <c r="S175" s="8">
        <f t="shared" si="43"/>
        <v>65</v>
      </c>
      <c r="U175" s="8">
        <f t="shared" si="47"/>
        <v>0</v>
      </c>
    </row>
    <row r="176" spans="1:21" ht="15.75" hidden="1" customHeight="1">
      <c r="A176" s="136" t="str">
        <f t="shared" ref="A176:A207" si="48">+IF($U176=1,INDEX(ChangeData,$S176,1),"")</f>
        <v/>
      </c>
      <c r="B176" s="137" t="str">
        <f t="shared" ref="B176:B207" si="49">+IF($U176=1,INDEX(ChangeData,$S176,3),"")</f>
        <v/>
      </c>
      <c r="C176" s="135" t="str">
        <f t="shared" ref="C176:C207" si="50">+IF($U176=1,INDEX(ChangeData,$S176,4),"")</f>
        <v/>
      </c>
      <c r="D176" s="113"/>
      <c r="E176" s="92"/>
      <c r="F176" s="92"/>
      <c r="G176" s="92"/>
      <c r="H176" s="113"/>
      <c r="I176" s="80"/>
      <c r="J176" s="80"/>
      <c r="K176" s="83"/>
      <c r="L176" s="82"/>
      <c r="M176" s="113"/>
      <c r="N176" s="146"/>
      <c r="O176" s="113"/>
      <c r="P176" s="147"/>
      <c r="Q176" s="23"/>
      <c r="R176" s="23"/>
      <c r="S176" s="8">
        <f t="shared" si="43"/>
        <v>66</v>
      </c>
      <c r="U176" s="8">
        <f t="shared" ref="U176:U207" si="51">IF(LEN(INDEX(ChangeData,S176,1))&gt;0,1,0)</f>
        <v>0</v>
      </c>
    </row>
    <row r="177" spans="1:21" ht="15.75" hidden="1" customHeight="1">
      <c r="A177" s="136" t="str">
        <f t="shared" si="48"/>
        <v/>
      </c>
      <c r="B177" s="137" t="str">
        <f t="shared" si="49"/>
        <v/>
      </c>
      <c r="C177" s="135" t="str">
        <f t="shared" si="50"/>
        <v/>
      </c>
      <c r="D177" s="113"/>
      <c r="E177" s="92"/>
      <c r="F177" s="92"/>
      <c r="G177" s="92"/>
      <c r="H177" s="113"/>
      <c r="I177" s="80"/>
      <c r="J177" s="80"/>
      <c r="K177" s="83"/>
      <c r="L177" s="82"/>
      <c r="M177" s="113"/>
      <c r="N177" s="146"/>
      <c r="O177" s="113"/>
      <c r="P177" s="147"/>
      <c r="Q177" s="23"/>
      <c r="R177" s="23"/>
      <c r="S177" s="8">
        <f t="shared" ref="S177:S240" si="52">+S176+1</f>
        <v>67</v>
      </c>
      <c r="U177" s="8">
        <f t="shared" si="51"/>
        <v>0</v>
      </c>
    </row>
    <row r="178" spans="1:21" ht="15.75" hidden="1" customHeight="1">
      <c r="A178" s="136" t="str">
        <f t="shared" si="48"/>
        <v/>
      </c>
      <c r="B178" s="137" t="str">
        <f t="shared" si="49"/>
        <v/>
      </c>
      <c r="C178" s="135" t="str">
        <f t="shared" si="50"/>
        <v/>
      </c>
      <c r="D178" s="113"/>
      <c r="E178" s="92"/>
      <c r="F178" s="92"/>
      <c r="G178" s="92"/>
      <c r="H178" s="113"/>
      <c r="I178" s="80"/>
      <c r="J178" s="80"/>
      <c r="K178" s="83"/>
      <c r="L178" s="82"/>
      <c r="M178" s="113"/>
      <c r="N178" s="146"/>
      <c r="O178" s="113"/>
      <c r="P178" s="147"/>
      <c r="Q178" s="23"/>
      <c r="R178" s="23"/>
      <c r="S178" s="8">
        <f t="shared" si="52"/>
        <v>68</v>
      </c>
      <c r="U178" s="8">
        <f t="shared" si="51"/>
        <v>0</v>
      </c>
    </row>
    <row r="179" spans="1:21" ht="15.75" hidden="1" customHeight="1">
      <c r="A179" s="136" t="str">
        <f t="shared" si="48"/>
        <v/>
      </c>
      <c r="B179" s="137" t="str">
        <f t="shared" si="49"/>
        <v/>
      </c>
      <c r="C179" s="135" t="str">
        <f t="shared" si="50"/>
        <v/>
      </c>
      <c r="D179" s="113"/>
      <c r="E179" s="92"/>
      <c r="F179" s="92"/>
      <c r="G179" s="92"/>
      <c r="H179" s="113"/>
      <c r="I179" s="80"/>
      <c r="J179" s="80"/>
      <c r="K179" s="83"/>
      <c r="L179" s="82"/>
      <c r="M179" s="113"/>
      <c r="N179" s="146"/>
      <c r="O179" s="113"/>
      <c r="P179" s="147"/>
      <c r="Q179" s="23"/>
      <c r="R179" s="23"/>
      <c r="S179" s="8">
        <f t="shared" si="52"/>
        <v>69</v>
      </c>
      <c r="U179" s="8">
        <f t="shared" si="51"/>
        <v>0</v>
      </c>
    </row>
    <row r="180" spans="1:21" ht="15.75" hidden="1" customHeight="1">
      <c r="A180" s="136" t="str">
        <f t="shared" si="48"/>
        <v/>
      </c>
      <c r="B180" s="137" t="str">
        <f t="shared" si="49"/>
        <v/>
      </c>
      <c r="C180" s="135" t="str">
        <f t="shared" si="50"/>
        <v/>
      </c>
      <c r="D180" s="113"/>
      <c r="E180" s="92"/>
      <c r="F180" s="92"/>
      <c r="G180" s="92"/>
      <c r="H180" s="113"/>
      <c r="I180" s="80"/>
      <c r="J180" s="80"/>
      <c r="K180" s="83"/>
      <c r="L180" s="82"/>
      <c r="M180" s="113"/>
      <c r="N180" s="146"/>
      <c r="O180" s="113"/>
      <c r="P180" s="147"/>
      <c r="Q180" s="23"/>
      <c r="R180" s="23"/>
      <c r="S180" s="8">
        <f t="shared" si="52"/>
        <v>70</v>
      </c>
      <c r="U180" s="8">
        <f t="shared" si="51"/>
        <v>0</v>
      </c>
    </row>
    <row r="181" spans="1:21" ht="15.75" hidden="1" customHeight="1">
      <c r="A181" s="136" t="str">
        <f t="shared" si="48"/>
        <v/>
      </c>
      <c r="B181" s="137" t="str">
        <f t="shared" si="49"/>
        <v/>
      </c>
      <c r="C181" s="135" t="str">
        <f t="shared" si="50"/>
        <v/>
      </c>
      <c r="D181" s="113"/>
      <c r="E181" s="92"/>
      <c r="F181" s="92"/>
      <c r="G181" s="92"/>
      <c r="H181" s="113"/>
      <c r="I181" s="80"/>
      <c r="J181" s="80"/>
      <c r="K181" s="83"/>
      <c r="L181" s="82"/>
      <c r="M181" s="113"/>
      <c r="N181" s="146"/>
      <c r="O181" s="113"/>
      <c r="P181" s="147"/>
      <c r="Q181" s="23"/>
      <c r="R181" s="23"/>
      <c r="S181" s="8">
        <f t="shared" si="52"/>
        <v>71</v>
      </c>
      <c r="U181" s="8">
        <f t="shared" si="51"/>
        <v>0</v>
      </c>
    </row>
    <row r="182" spans="1:21" ht="15.75" hidden="1" customHeight="1">
      <c r="A182" s="136" t="str">
        <f t="shared" si="48"/>
        <v/>
      </c>
      <c r="B182" s="137" t="str">
        <f t="shared" si="49"/>
        <v/>
      </c>
      <c r="C182" s="135" t="str">
        <f t="shared" si="50"/>
        <v/>
      </c>
      <c r="D182" s="113"/>
      <c r="E182" s="92"/>
      <c r="F182" s="92"/>
      <c r="G182" s="92"/>
      <c r="H182" s="113"/>
      <c r="I182" s="80"/>
      <c r="J182" s="80"/>
      <c r="K182" s="83"/>
      <c r="L182" s="82"/>
      <c r="M182" s="113"/>
      <c r="N182" s="146"/>
      <c r="O182" s="113"/>
      <c r="P182" s="147"/>
      <c r="Q182" s="23"/>
      <c r="R182" s="23"/>
      <c r="S182" s="8">
        <f t="shared" si="52"/>
        <v>72</v>
      </c>
      <c r="U182" s="8">
        <f t="shared" si="51"/>
        <v>0</v>
      </c>
    </row>
    <row r="183" spans="1:21" ht="15.75" hidden="1" customHeight="1">
      <c r="A183" s="136" t="str">
        <f t="shared" si="48"/>
        <v/>
      </c>
      <c r="B183" s="137" t="str">
        <f t="shared" si="49"/>
        <v/>
      </c>
      <c r="C183" s="135" t="str">
        <f t="shared" si="50"/>
        <v/>
      </c>
      <c r="D183" s="113"/>
      <c r="E183" s="92"/>
      <c r="F183" s="92"/>
      <c r="G183" s="92"/>
      <c r="H183" s="113"/>
      <c r="I183" s="80"/>
      <c r="J183" s="80"/>
      <c r="K183" s="83"/>
      <c r="L183" s="82"/>
      <c r="M183" s="113"/>
      <c r="N183" s="146"/>
      <c r="O183" s="113"/>
      <c r="P183" s="147"/>
      <c r="Q183" s="23"/>
      <c r="R183" s="23"/>
      <c r="S183" s="8">
        <f t="shared" si="52"/>
        <v>73</v>
      </c>
      <c r="U183" s="8">
        <f t="shared" si="51"/>
        <v>0</v>
      </c>
    </row>
    <row r="184" spans="1:21" ht="15.75" hidden="1" customHeight="1">
      <c r="A184" s="136" t="str">
        <f t="shared" si="48"/>
        <v/>
      </c>
      <c r="B184" s="137" t="str">
        <f t="shared" si="49"/>
        <v/>
      </c>
      <c r="C184" s="135" t="str">
        <f t="shared" si="50"/>
        <v/>
      </c>
      <c r="D184" s="113"/>
      <c r="E184" s="92"/>
      <c r="F184" s="92"/>
      <c r="G184" s="92"/>
      <c r="H184" s="113"/>
      <c r="I184" s="80"/>
      <c r="J184" s="80"/>
      <c r="K184" s="83"/>
      <c r="L184" s="82"/>
      <c r="M184" s="113"/>
      <c r="N184" s="146"/>
      <c r="O184" s="113"/>
      <c r="P184" s="147"/>
      <c r="Q184" s="23"/>
      <c r="R184" s="23"/>
      <c r="S184" s="8">
        <f t="shared" si="52"/>
        <v>74</v>
      </c>
      <c r="U184" s="8">
        <f t="shared" si="51"/>
        <v>0</v>
      </c>
    </row>
    <row r="185" spans="1:21" ht="15.75" hidden="1" customHeight="1">
      <c r="A185" s="136" t="str">
        <f t="shared" si="48"/>
        <v/>
      </c>
      <c r="B185" s="137" t="str">
        <f t="shared" si="49"/>
        <v/>
      </c>
      <c r="C185" s="135" t="str">
        <f t="shared" si="50"/>
        <v/>
      </c>
      <c r="D185" s="113"/>
      <c r="E185" s="92"/>
      <c r="F185" s="92"/>
      <c r="G185" s="92"/>
      <c r="H185" s="113"/>
      <c r="I185" s="80"/>
      <c r="J185" s="80"/>
      <c r="K185" s="83"/>
      <c r="L185" s="82"/>
      <c r="M185" s="113"/>
      <c r="N185" s="146"/>
      <c r="O185" s="113"/>
      <c r="P185" s="147"/>
      <c r="Q185" s="23"/>
      <c r="R185" s="23"/>
      <c r="S185" s="8">
        <f t="shared" si="52"/>
        <v>75</v>
      </c>
      <c r="U185" s="8">
        <f t="shared" si="51"/>
        <v>0</v>
      </c>
    </row>
    <row r="186" spans="1:21" ht="15.75" hidden="1" customHeight="1">
      <c r="A186" s="136" t="str">
        <f t="shared" si="48"/>
        <v/>
      </c>
      <c r="B186" s="137" t="str">
        <f t="shared" si="49"/>
        <v/>
      </c>
      <c r="C186" s="135" t="str">
        <f t="shared" si="50"/>
        <v/>
      </c>
      <c r="D186" s="113"/>
      <c r="E186" s="92"/>
      <c r="F186" s="92"/>
      <c r="G186" s="92"/>
      <c r="H186" s="113"/>
      <c r="I186" s="80"/>
      <c r="J186" s="80"/>
      <c r="K186" s="83"/>
      <c r="L186" s="82"/>
      <c r="M186" s="113"/>
      <c r="N186" s="146"/>
      <c r="O186" s="113"/>
      <c r="P186" s="147"/>
      <c r="Q186" s="23"/>
      <c r="R186" s="23"/>
      <c r="S186" s="8">
        <f t="shared" si="52"/>
        <v>76</v>
      </c>
      <c r="U186" s="8">
        <f t="shared" si="51"/>
        <v>0</v>
      </c>
    </row>
    <row r="187" spans="1:21" ht="15.75" hidden="1" customHeight="1">
      <c r="A187" s="136" t="str">
        <f t="shared" si="48"/>
        <v/>
      </c>
      <c r="B187" s="137" t="str">
        <f t="shared" si="49"/>
        <v/>
      </c>
      <c r="C187" s="135" t="str">
        <f t="shared" si="50"/>
        <v/>
      </c>
      <c r="D187" s="113"/>
      <c r="E187" s="92"/>
      <c r="F187" s="92"/>
      <c r="G187" s="92"/>
      <c r="H187" s="113"/>
      <c r="I187" s="80"/>
      <c r="J187" s="80"/>
      <c r="K187" s="83"/>
      <c r="L187" s="82"/>
      <c r="M187" s="113"/>
      <c r="N187" s="146"/>
      <c r="O187" s="113"/>
      <c r="P187" s="147"/>
      <c r="Q187" s="23"/>
      <c r="R187" s="23"/>
      <c r="S187" s="8">
        <f t="shared" si="52"/>
        <v>77</v>
      </c>
      <c r="U187" s="8">
        <f t="shared" si="51"/>
        <v>0</v>
      </c>
    </row>
    <row r="188" spans="1:21" ht="15.75" hidden="1" customHeight="1">
      <c r="A188" s="136" t="str">
        <f t="shared" si="48"/>
        <v/>
      </c>
      <c r="B188" s="137" t="str">
        <f t="shared" si="49"/>
        <v/>
      </c>
      <c r="C188" s="135" t="str">
        <f t="shared" si="50"/>
        <v/>
      </c>
      <c r="D188" s="113"/>
      <c r="E188" s="92"/>
      <c r="F188" s="92"/>
      <c r="G188" s="92"/>
      <c r="H188" s="113"/>
      <c r="I188" s="80"/>
      <c r="J188" s="80"/>
      <c r="K188" s="83"/>
      <c r="L188" s="82"/>
      <c r="M188" s="113"/>
      <c r="N188" s="146"/>
      <c r="O188" s="113"/>
      <c r="P188" s="147"/>
      <c r="Q188" s="23"/>
      <c r="R188" s="23"/>
      <c r="S188" s="8">
        <f t="shared" si="52"/>
        <v>78</v>
      </c>
      <c r="U188" s="8">
        <f t="shared" si="51"/>
        <v>0</v>
      </c>
    </row>
    <row r="189" spans="1:21" ht="15.75" hidden="1" customHeight="1">
      <c r="A189" s="136" t="str">
        <f t="shared" si="48"/>
        <v/>
      </c>
      <c r="B189" s="137" t="str">
        <f t="shared" si="49"/>
        <v/>
      </c>
      <c r="C189" s="135" t="str">
        <f t="shared" si="50"/>
        <v/>
      </c>
      <c r="D189" s="113"/>
      <c r="E189" s="92"/>
      <c r="F189" s="92"/>
      <c r="G189" s="92"/>
      <c r="H189" s="113"/>
      <c r="I189" s="80"/>
      <c r="J189" s="80"/>
      <c r="K189" s="83"/>
      <c r="L189" s="82"/>
      <c r="M189" s="113"/>
      <c r="N189" s="146"/>
      <c r="O189" s="113"/>
      <c r="P189" s="147"/>
      <c r="Q189" s="23"/>
      <c r="R189" s="23"/>
      <c r="S189" s="8">
        <f t="shared" si="52"/>
        <v>79</v>
      </c>
      <c r="U189" s="8">
        <f t="shared" si="51"/>
        <v>0</v>
      </c>
    </row>
    <row r="190" spans="1:21" ht="15.75" hidden="1" customHeight="1">
      <c r="A190" s="136" t="str">
        <f t="shared" si="48"/>
        <v/>
      </c>
      <c r="B190" s="137" t="str">
        <f t="shared" si="49"/>
        <v/>
      </c>
      <c r="C190" s="135" t="str">
        <f t="shared" si="50"/>
        <v/>
      </c>
      <c r="D190" s="113"/>
      <c r="E190" s="92"/>
      <c r="F190" s="92"/>
      <c r="G190" s="92"/>
      <c r="H190" s="113"/>
      <c r="I190" s="80"/>
      <c r="J190" s="80"/>
      <c r="K190" s="83"/>
      <c r="L190" s="82"/>
      <c r="M190" s="113"/>
      <c r="N190" s="146"/>
      <c r="O190" s="113"/>
      <c r="P190" s="147"/>
      <c r="Q190" s="23"/>
      <c r="R190" s="23"/>
      <c r="S190" s="8">
        <f t="shared" si="52"/>
        <v>80</v>
      </c>
      <c r="U190" s="8">
        <f t="shared" si="51"/>
        <v>0</v>
      </c>
    </row>
    <row r="191" spans="1:21" ht="15.75" hidden="1" customHeight="1">
      <c r="A191" s="136" t="str">
        <f t="shared" si="48"/>
        <v/>
      </c>
      <c r="B191" s="137" t="str">
        <f t="shared" si="49"/>
        <v/>
      </c>
      <c r="C191" s="135" t="str">
        <f t="shared" si="50"/>
        <v/>
      </c>
      <c r="D191" s="113"/>
      <c r="E191" s="92"/>
      <c r="F191" s="92"/>
      <c r="G191" s="92"/>
      <c r="H191" s="113"/>
      <c r="I191" s="80"/>
      <c r="J191" s="80"/>
      <c r="K191" s="83"/>
      <c r="L191" s="82"/>
      <c r="M191" s="113"/>
      <c r="N191" s="146"/>
      <c r="O191" s="113"/>
      <c r="P191" s="147"/>
      <c r="Q191" s="23"/>
      <c r="R191" s="23"/>
      <c r="S191" s="8">
        <f t="shared" si="52"/>
        <v>81</v>
      </c>
      <c r="U191" s="8">
        <f t="shared" si="51"/>
        <v>0</v>
      </c>
    </row>
    <row r="192" spans="1:21" ht="15.75" hidden="1" customHeight="1">
      <c r="A192" s="136" t="str">
        <f t="shared" si="48"/>
        <v/>
      </c>
      <c r="B192" s="137" t="str">
        <f t="shared" si="49"/>
        <v/>
      </c>
      <c r="C192" s="135" t="str">
        <f t="shared" si="50"/>
        <v/>
      </c>
      <c r="D192" s="113"/>
      <c r="E192" s="92"/>
      <c r="F192" s="92"/>
      <c r="G192" s="92"/>
      <c r="H192" s="113"/>
      <c r="I192" s="80"/>
      <c r="J192" s="80"/>
      <c r="K192" s="83"/>
      <c r="L192" s="82"/>
      <c r="M192" s="113"/>
      <c r="N192" s="146"/>
      <c r="O192" s="113"/>
      <c r="P192" s="147"/>
      <c r="Q192" s="23"/>
      <c r="R192" s="23"/>
      <c r="S192" s="8">
        <f t="shared" si="52"/>
        <v>82</v>
      </c>
      <c r="U192" s="8">
        <f t="shared" si="51"/>
        <v>0</v>
      </c>
    </row>
    <row r="193" spans="1:21" ht="15.75" hidden="1" customHeight="1">
      <c r="A193" s="136" t="str">
        <f t="shared" si="48"/>
        <v/>
      </c>
      <c r="B193" s="137" t="str">
        <f t="shared" si="49"/>
        <v/>
      </c>
      <c r="C193" s="135" t="str">
        <f t="shared" si="50"/>
        <v/>
      </c>
      <c r="D193" s="113"/>
      <c r="E193" s="92"/>
      <c r="F193" s="92"/>
      <c r="G193" s="92"/>
      <c r="H193" s="113"/>
      <c r="I193" s="80"/>
      <c r="J193" s="80"/>
      <c r="K193" s="83"/>
      <c r="L193" s="82"/>
      <c r="M193" s="113"/>
      <c r="N193" s="146"/>
      <c r="O193" s="113"/>
      <c r="P193" s="147"/>
      <c r="Q193" s="23"/>
      <c r="R193" s="23"/>
      <c r="S193" s="8">
        <f t="shared" si="52"/>
        <v>83</v>
      </c>
      <c r="U193" s="8">
        <f t="shared" si="51"/>
        <v>0</v>
      </c>
    </row>
    <row r="194" spans="1:21" ht="15.75" hidden="1" customHeight="1">
      <c r="A194" s="136" t="str">
        <f t="shared" si="48"/>
        <v/>
      </c>
      <c r="B194" s="137" t="str">
        <f t="shared" si="49"/>
        <v/>
      </c>
      <c r="C194" s="135" t="str">
        <f t="shared" si="50"/>
        <v/>
      </c>
      <c r="D194" s="113"/>
      <c r="E194" s="92"/>
      <c r="F194" s="92"/>
      <c r="G194" s="92"/>
      <c r="H194" s="113"/>
      <c r="I194" s="80"/>
      <c r="J194" s="80"/>
      <c r="K194" s="83"/>
      <c r="L194" s="82"/>
      <c r="M194" s="113"/>
      <c r="N194" s="146"/>
      <c r="O194" s="113"/>
      <c r="P194" s="147"/>
      <c r="Q194" s="23"/>
      <c r="R194" s="23"/>
      <c r="S194" s="8">
        <f t="shared" si="52"/>
        <v>84</v>
      </c>
      <c r="U194" s="8">
        <f t="shared" si="51"/>
        <v>0</v>
      </c>
    </row>
    <row r="195" spans="1:21" ht="15.75" hidden="1" customHeight="1">
      <c r="A195" s="136" t="str">
        <f t="shared" si="48"/>
        <v/>
      </c>
      <c r="B195" s="137" t="str">
        <f t="shared" si="49"/>
        <v/>
      </c>
      <c r="C195" s="135" t="str">
        <f t="shared" si="50"/>
        <v/>
      </c>
      <c r="D195" s="113"/>
      <c r="E195" s="92"/>
      <c r="F195" s="92"/>
      <c r="G195" s="92"/>
      <c r="H195" s="113"/>
      <c r="I195" s="80"/>
      <c r="J195" s="80"/>
      <c r="K195" s="83"/>
      <c r="L195" s="82"/>
      <c r="M195" s="113"/>
      <c r="N195" s="146"/>
      <c r="O195" s="113"/>
      <c r="P195" s="147"/>
      <c r="Q195" s="23"/>
      <c r="R195" s="23"/>
      <c r="S195" s="8">
        <f t="shared" si="52"/>
        <v>85</v>
      </c>
      <c r="U195" s="8">
        <f t="shared" si="51"/>
        <v>0</v>
      </c>
    </row>
    <row r="196" spans="1:21" ht="15.75" hidden="1" customHeight="1">
      <c r="A196" s="136" t="str">
        <f t="shared" si="48"/>
        <v/>
      </c>
      <c r="B196" s="137" t="str">
        <f t="shared" si="49"/>
        <v/>
      </c>
      <c r="C196" s="135" t="str">
        <f t="shared" si="50"/>
        <v/>
      </c>
      <c r="D196" s="113"/>
      <c r="E196" s="92"/>
      <c r="F196" s="92"/>
      <c r="G196" s="92"/>
      <c r="H196" s="113"/>
      <c r="I196" s="80"/>
      <c r="J196" s="80"/>
      <c r="K196" s="83"/>
      <c r="L196" s="82"/>
      <c r="M196" s="113"/>
      <c r="N196" s="146"/>
      <c r="O196" s="113"/>
      <c r="P196" s="147"/>
      <c r="Q196" s="23"/>
      <c r="R196" s="23"/>
      <c r="S196" s="8">
        <f t="shared" si="52"/>
        <v>86</v>
      </c>
      <c r="U196" s="8">
        <f t="shared" si="51"/>
        <v>0</v>
      </c>
    </row>
    <row r="197" spans="1:21" ht="15.75" hidden="1" customHeight="1">
      <c r="A197" s="136" t="str">
        <f t="shared" si="48"/>
        <v/>
      </c>
      <c r="B197" s="137" t="str">
        <f t="shared" si="49"/>
        <v/>
      </c>
      <c r="C197" s="135" t="str">
        <f t="shared" si="50"/>
        <v/>
      </c>
      <c r="D197" s="113"/>
      <c r="E197" s="92"/>
      <c r="F197" s="92"/>
      <c r="G197" s="92"/>
      <c r="H197" s="113"/>
      <c r="I197" s="80"/>
      <c r="J197" s="80"/>
      <c r="K197" s="83"/>
      <c r="L197" s="82"/>
      <c r="M197" s="113"/>
      <c r="N197" s="146"/>
      <c r="O197" s="113"/>
      <c r="P197" s="147"/>
      <c r="Q197" s="23"/>
      <c r="R197" s="23"/>
      <c r="S197" s="8">
        <f t="shared" si="52"/>
        <v>87</v>
      </c>
      <c r="U197" s="8">
        <f t="shared" si="51"/>
        <v>0</v>
      </c>
    </row>
    <row r="198" spans="1:21" ht="15.75" hidden="1" customHeight="1">
      <c r="A198" s="136" t="str">
        <f t="shared" si="48"/>
        <v/>
      </c>
      <c r="B198" s="137" t="str">
        <f t="shared" si="49"/>
        <v/>
      </c>
      <c r="C198" s="135" t="str">
        <f t="shared" si="50"/>
        <v/>
      </c>
      <c r="D198" s="113"/>
      <c r="E198" s="92"/>
      <c r="F198" s="92"/>
      <c r="G198" s="92"/>
      <c r="H198" s="113"/>
      <c r="I198" s="80"/>
      <c r="J198" s="80"/>
      <c r="K198" s="83"/>
      <c r="L198" s="82"/>
      <c r="M198" s="113"/>
      <c r="N198" s="146"/>
      <c r="O198" s="113"/>
      <c r="P198" s="147"/>
      <c r="Q198" s="23"/>
      <c r="R198" s="23"/>
      <c r="S198" s="8">
        <f t="shared" si="52"/>
        <v>88</v>
      </c>
      <c r="U198" s="8">
        <f t="shared" si="51"/>
        <v>0</v>
      </c>
    </row>
    <row r="199" spans="1:21" ht="15.75" hidden="1" customHeight="1">
      <c r="A199" s="136" t="str">
        <f t="shared" si="48"/>
        <v/>
      </c>
      <c r="B199" s="137" t="str">
        <f t="shared" si="49"/>
        <v/>
      </c>
      <c r="C199" s="135" t="str">
        <f t="shared" si="50"/>
        <v/>
      </c>
      <c r="D199" s="113"/>
      <c r="E199" s="92"/>
      <c r="F199" s="92"/>
      <c r="G199" s="92"/>
      <c r="H199" s="113"/>
      <c r="I199" s="80"/>
      <c r="J199" s="80"/>
      <c r="K199" s="83"/>
      <c r="L199" s="82"/>
      <c r="M199" s="113"/>
      <c r="N199" s="146"/>
      <c r="O199" s="113"/>
      <c r="P199" s="147"/>
      <c r="Q199" s="23"/>
      <c r="R199" s="23"/>
      <c r="S199" s="8">
        <f t="shared" si="52"/>
        <v>89</v>
      </c>
      <c r="U199" s="8">
        <f t="shared" si="51"/>
        <v>0</v>
      </c>
    </row>
    <row r="200" spans="1:21" ht="15.75" hidden="1" customHeight="1">
      <c r="A200" s="136" t="str">
        <f t="shared" si="48"/>
        <v/>
      </c>
      <c r="B200" s="137" t="str">
        <f t="shared" si="49"/>
        <v/>
      </c>
      <c r="C200" s="135" t="str">
        <f t="shared" si="50"/>
        <v/>
      </c>
      <c r="D200" s="113"/>
      <c r="E200" s="92"/>
      <c r="F200" s="92"/>
      <c r="G200" s="92"/>
      <c r="H200" s="113"/>
      <c r="I200" s="80"/>
      <c r="J200" s="80"/>
      <c r="K200" s="83"/>
      <c r="L200" s="82"/>
      <c r="M200" s="113"/>
      <c r="N200" s="146"/>
      <c r="O200" s="113"/>
      <c r="P200" s="147"/>
      <c r="Q200" s="23"/>
      <c r="R200" s="23"/>
      <c r="S200" s="8">
        <f t="shared" si="52"/>
        <v>90</v>
      </c>
      <c r="U200" s="8">
        <f t="shared" si="51"/>
        <v>0</v>
      </c>
    </row>
    <row r="201" spans="1:21" ht="15.75" hidden="1" customHeight="1">
      <c r="A201" s="136" t="str">
        <f t="shared" si="48"/>
        <v/>
      </c>
      <c r="B201" s="137" t="str">
        <f t="shared" si="49"/>
        <v/>
      </c>
      <c r="C201" s="135" t="str">
        <f t="shared" si="50"/>
        <v/>
      </c>
      <c r="D201" s="113"/>
      <c r="E201" s="92"/>
      <c r="F201" s="92"/>
      <c r="G201" s="92"/>
      <c r="H201" s="113"/>
      <c r="I201" s="80"/>
      <c r="J201" s="80"/>
      <c r="K201" s="83"/>
      <c r="L201" s="82"/>
      <c r="M201" s="113"/>
      <c r="N201" s="146"/>
      <c r="O201" s="113"/>
      <c r="P201" s="147"/>
      <c r="Q201" s="23"/>
      <c r="R201" s="23"/>
      <c r="S201" s="8">
        <f t="shared" si="52"/>
        <v>91</v>
      </c>
      <c r="U201" s="8">
        <f t="shared" si="51"/>
        <v>0</v>
      </c>
    </row>
    <row r="202" spans="1:21" ht="15.75" hidden="1" customHeight="1">
      <c r="A202" s="136" t="str">
        <f t="shared" si="48"/>
        <v/>
      </c>
      <c r="B202" s="137" t="str">
        <f t="shared" si="49"/>
        <v/>
      </c>
      <c r="C202" s="135" t="str">
        <f t="shared" si="50"/>
        <v/>
      </c>
      <c r="D202" s="113"/>
      <c r="E202" s="92"/>
      <c r="F202" s="92"/>
      <c r="G202" s="92"/>
      <c r="H202" s="113"/>
      <c r="I202" s="80"/>
      <c r="J202" s="80"/>
      <c r="K202" s="83"/>
      <c r="L202" s="82"/>
      <c r="M202" s="113"/>
      <c r="N202" s="146"/>
      <c r="O202" s="113"/>
      <c r="P202" s="147"/>
      <c r="Q202" s="23"/>
      <c r="R202" s="23"/>
      <c r="S202" s="8">
        <f t="shared" si="52"/>
        <v>92</v>
      </c>
      <c r="U202" s="8">
        <f t="shared" si="51"/>
        <v>0</v>
      </c>
    </row>
    <row r="203" spans="1:21" ht="15.75" hidden="1" customHeight="1">
      <c r="A203" s="136" t="str">
        <f t="shared" si="48"/>
        <v/>
      </c>
      <c r="B203" s="137" t="str">
        <f t="shared" si="49"/>
        <v/>
      </c>
      <c r="C203" s="135" t="str">
        <f t="shared" si="50"/>
        <v/>
      </c>
      <c r="D203" s="113"/>
      <c r="E203" s="92"/>
      <c r="F203" s="92"/>
      <c r="G203" s="92"/>
      <c r="H203" s="113"/>
      <c r="I203" s="80"/>
      <c r="J203" s="80"/>
      <c r="K203" s="83"/>
      <c r="L203" s="82"/>
      <c r="M203" s="113"/>
      <c r="N203" s="146"/>
      <c r="O203" s="113"/>
      <c r="P203" s="147"/>
      <c r="Q203" s="23"/>
      <c r="R203" s="23"/>
      <c r="S203" s="8">
        <f t="shared" si="52"/>
        <v>93</v>
      </c>
      <c r="U203" s="8">
        <f t="shared" si="51"/>
        <v>0</v>
      </c>
    </row>
    <row r="204" spans="1:21" ht="15.75" hidden="1" customHeight="1">
      <c r="A204" s="136" t="str">
        <f t="shared" si="48"/>
        <v/>
      </c>
      <c r="B204" s="137" t="str">
        <f t="shared" si="49"/>
        <v/>
      </c>
      <c r="C204" s="135" t="str">
        <f t="shared" si="50"/>
        <v/>
      </c>
      <c r="D204" s="113"/>
      <c r="E204" s="92"/>
      <c r="F204" s="92"/>
      <c r="G204" s="92"/>
      <c r="H204" s="113"/>
      <c r="I204" s="80"/>
      <c r="J204" s="80"/>
      <c r="K204" s="83"/>
      <c r="L204" s="82"/>
      <c r="M204" s="113"/>
      <c r="N204" s="146"/>
      <c r="O204" s="113"/>
      <c r="P204" s="147"/>
      <c r="Q204" s="23"/>
      <c r="R204" s="23"/>
      <c r="S204" s="8">
        <f t="shared" si="52"/>
        <v>94</v>
      </c>
      <c r="U204" s="8">
        <f t="shared" si="51"/>
        <v>0</v>
      </c>
    </row>
    <row r="205" spans="1:21" ht="15.75" hidden="1" customHeight="1">
      <c r="A205" s="136" t="str">
        <f t="shared" si="48"/>
        <v/>
      </c>
      <c r="B205" s="137" t="str">
        <f t="shared" si="49"/>
        <v/>
      </c>
      <c r="C205" s="135" t="str">
        <f t="shared" si="50"/>
        <v/>
      </c>
      <c r="D205" s="113"/>
      <c r="E205" s="92"/>
      <c r="F205" s="92"/>
      <c r="G205" s="92"/>
      <c r="H205" s="113"/>
      <c r="I205" s="80"/>
      <c r="J205" s="80"/>
      <c r="K205" s="83"/>
      <c r="L205" s="82"/>
      <c r="M205" s="113"/>
      <c r="N205" s="146"/>
      <c r="O205" s="113"/>
      <c r="P205" s="147"/>
      <c r="Q205" s="23"/>
      <c r="R205" s="23"/>
      <c r="S205" s="8">
        <f t="shared" si="52"/>
        <v>95</v>
      </c>
      <c r="U205" s="8">
        <f t="shared" si="51"/>
        <v>0</v>
      </c>
    </row>
    <row r="206" spans="1:21" ht="15.75" hidden="1" customHeight="1">
      <c r="A206" s="136" t="str">
        <f t="shared" si="48"/>
        <v/>
      </c>
      <c r="B206" s="137" t="str">
        <f t="shared" si="49"/>
        <v/>
      </c>
      <c r="C206" s="135" t="str">
        <f t="shared" si="50"/>
        <v/>
      </c>
      <c r="D206" s="113"/>
      <c r="E206" s="92"/>
      <c r="F206" s="92"/>
      <c r="G206" s="92"/>
      <c r="H206" s="113"/>
      <c r="I206" s="80"/>
      <c r="J206" s="80"/>
      <c r="K206" s="83"/>
      <c r="L206" s="82"/>
      <c r="M206" s="113"/>
      <c r="N206" s="146"/>
      <c r="O206" s="113"/>
      <c r="P206" s="147"/>
      <c r="Q206" s="23"/>
      <c r="R206" s="23"/>
      <c r="S206" s="8">
        <f t="shared" si="52"/>
        <v>96</v>
      </c>
      <c r="U206" s="8">
        <f t="shared" si="51"/>
        <v>0</v>
      </c>
    </row>
    <row r="207" spans="1:21" ht="15.75" hidden="1" customHeight="1">
      <c r="A207" s="136" t="str">
        <f t="shared" si="48"/>
        <v/>
      </c>
      <c r="B207" s="137" t="str">
        <f t="shared" si="49"/>
        <v/>
      </c>
      <c r="C207" s="135" t="str">
        <f t="shared" si="50"/>
        <v/>
      </c>
      <c r="D207" s="113"/>
      <c r="E207" s="92"/>
      <c r="F207" s="92"/>
      <c r="G207" s="92"/>
      <c r="H207" s="113"/>
      <c r="I207" s="80"/>
      <c r="J207" s="80"/>
      <c r="K207" s="83"/>
      <c r="L207" s="82"/>
      <c r="M207" s="113"/>
      <c r="N207" s="146"/>
      <c r="O207" s="113"/>
      <c r="P207" s="147"/>
      <c r="Q207" s="23"/>
      <c r="R207" s="23"/>
      <c r="S207" s="8">
        <f t="shared" si="52"/>
        <v>97</v>
      </c>
      <c r="U207" s="8">
        <f t="shared" si="51"/>
        <v>0</v>
      </c>
    </row>
    <row r="208" spans="1:21" ht="15.75" hidden="1" customHeight="1">
      <c r="A208" s="136" t="str">
        <f t="shared" ref="A208:A239" si="53">+IF($U208=1,INDEX(ChangeData,$S208,1),"")</f>
        <v/>
      </c>
      <c r="B208" s="137" t="str">
        <f t="shared" ref="B208:B239" si="54">+IF($U208=1,INDEX(ChangeData,$S208,3),"")</f>
        <v/>
      </c>
      <c r="C208" s="135" t="str">
        <f t="shared" ref="C208:C239" si="55">+IF($U208=1,INDEX(ChangeData,$S208,4),"")</f>
        <v/>
      </c>
      <c r="D208" s="113"/>
      <c r="E208" s="92"/>
      <c r="F208" s="92"/>
      <c r="G208" s="92"/>
      <c r="H208" s="113"/>
      <c r="I208" s="80"/>
      <c r="J208" s="80"/>
      <c r="K208" s="83"/>
      <c r="L208" s="82"/>
      <c r="M208" s="113"/>
      <c r="N208" s="146"/>
      <c r="O208" s="113"/>
      <c r="P208" s="147"/>
      <c r="Q208" s="23"/>
      <c r="R208" s="23"/>
      <c r="S208" s="8">
        <f t="shared" si="52"/>
        <v>98</v>
      </c>
      <c r="U208" s="8">
        <f t="shared" ref="U208:U239" si="56">IF(LEN(INDEX(ChangeData,S208,1))&gt;0,1,0)</f>
        <v>0</v>
      </c>
    </row>
    <row r="209" spans="1:21" ht="15.75" hidden="1" customHeight="1">
      <c r="A209" s="136" t="str">
        <f t="shared" si="53"/>
        <v/>
      </c>
      <c r="B209" s="137" t="str">
        <f t="shared" si="54"/>
        <v/>
      </c>
      <c r="C209" s="135" t="str">
        <f t="shared" si="55"/>
        <v/>
      </c>
      <c r="D209" s="113"/>
      <c r="E209" s="92"/>
      <c r="F209" s="92"/>
      <c r="G209" s="92"/>
      <c r="H209" s="113"/>
      <c r="I209" s="80"/>
      <c r="J209" s="80"/>
      <c r="K209" s="83"/>
      <c r="L209" s="82"/>
      <c r="M209" s="113"/>
      <c r="N209" s="146"/>
      <c r="O209" s="113"/>
      <c r="P209" s="147"/>
      <c r="Q209" s="23"/>
      <c r="R209" s="23"/>
      <c r="S209" s="8">
        <f t="shared" si="52"/>
        <v>99</v>
      </c>
      <c r="U209" s="8">
        <f t="shared" si="56"/>
        <v>0</v>
      </c>
    </row>
    <row r="210" spans="1:21" ht="15.75" hidden="1" customHeight="1">
      <c r="A210" s="136" t="str">
        <f t="shared" si="53"/>
        <v/>
      </c>
      <c r="B210" s="137" t="str">
        <f t="shared" si="54"/>
        <v/>
      </c>
      <c r="C210" s="135" t="str">
        <f t="shared" si="55"/>
        <v/>
      </c>
      <c r="D210" s="113"/>
      <c r="E210" s="92"/>
      <c r="F210" s="92"/>
      <c r="G210" s="92"/>
      <c r="H210" s="113"/>
      <c r="I210" s="80"/>
      <c r="J210" s="80"/>
      <c r="K210" s="83"/>
      <c r="L210" s="82"/>
      <c r="M210" s="113"/>
      <c r="N210" s="146"/>
      <c r="O210" s="113"/>
      <c r="P210" s="147"/>
      <c r="Q210" s="23"/>
      <c r="R210" s="23"/>
      <c r="S210" s="8">
        <f t="shared" si="52"/>
        <v>100</v>
      </c>
      <c r="U210" s="8">
        <f t="shared" si="56"/>
        <v>0</v>
      </c>
    </row>
    <row r="211" spans="1:21" ht="15.75" hidden="1" customHeight="1">
      <c r="A211" s="136" t="str">
        <f t="shared" si="53"/>
        <v/>
      </c>
      <c r="B211" s="137" t="str">
        <f t="shared" si="54"/>
        <v/>
      </c>
      <c r="C211" s="135" t="str">
        <f t="shared" si="55"/>
        <v/>
      </c>
      <c r="D211" s="113"/>
      <c r="E211" s="92"/>
      <c r="F211" s="92"/>
      <c r="G211" s="92"/>
      <c r="H211" s="113"/>
      <c r="I211" s="80"/>
      <c r="J211" s="80"/>
      <c r="K211" s="83"/>
      <c r="L211" s="82"/>
      <c r="M211" s="113"/>
      <c r="N211" s="146"/>
      <c r="O211" s="113"/>
      <c r="P211" s="147"/>
      <c r="Q211" s="23"/>
      <c r="R211" s="23"/>
      <c r="S211" s="8">
        <f t="shared" si="52"/>
        <v>101</v>
      </c>
      <c r="U211" s="8">
        <f t="shared" si="56"/>
        <v>0</v>
      </c>
    </row>
    <row r="212" spans="1:21" ht="15.75" hidden="1" customHeight="1">
      <c r="A212" s="136" t="str">
        <f t="shared" si="53"/>
        <v/>
      </c>
      <c r="B212" s="137" t="str">
        <f t="shared" si="54"/>
        <v/>
      </c>
      <c r="C212" s="135" t="str">
        <f t="shared" si="55"/>
        <v/>
      </c>
      <c r="D212" s="113"/>
      <c r="E212" s="92"/>
      <c r="F212" s="92"/>
      <c r="G212" s="92"/>
      <c r="H212" s="113"/>
      <c r="I212" s="80"/>
      <c r="J212" s="80"/>
      <c r="K212" s="83"/>
      <c r="L212" s="82"/>
      <c r="M212" s="113"/>
      <c r="N212" s="146"/>
      <c r="O212" s="113"/>
      <c r="P212" s="147"/>
      <c r="Q212" s="23"/>
      <c r="R212" s="23"/>
      <c r="S212" s="8">
        <f t="shared" si="52"/>
        <v>102</v>
      </c>
      <c r="U212" s="8">
        <f t="shared" si="56"/>
        <v>0</v>
      </c>
    </row>
    <row r="213" spans="1:21" ht="15.75" hidden="1" customHeight="1">
      <c r="A213" s="136" t="str">
        <f t="shared" si="53"/>
        <v/>
      </c>
      <c r="B213" s="137" t="str">
        <f t="shared" si="54"/>
        <v/>
      </c>
      <c r="C213" s="135" t="str">
        <f t="shared" si="55"/>
        <v/>
      </c>
      <c r="D213" s="113"/>
      <c r="E213" s="92"/>
      <c r="F213" s="92"/>
      <c r="G213" s="92"/>
      <c r="H213" s="113"/>
      <c r="I213" s="80"/>
      <c r="J213" s="80"/>
      <c r="K213" s="83"/>
      <c r="L213" s="82"/>
      <c r="M213" s="113"/>
      <c r="N213" s="146"/>
      <c r="O213" s="113"/>
      <c r="P213" s="147"/>
      <c r="Q213" s="23"/>
      <c r="R213" s="23"/>
      <c r="S213" s="8">
        <f t="shared" si="52"/>
        <v>103</v>
      </c>
      <c r="U213" s="8">
        <f t="shared" si="56"/>
        <v>0</v>
      </c>
    </row>
    <row r="214" spans="1:21" ht="15.75" hidden="1" customHeight="1">
      <c r="A214" s="136" t="str">
        <f t="shared" si="53"/>
        <v/>
      </c>
      <c r="B214" s="137" t="str">
        <f t="shared" si="54"/>
        <v/>
      </c>
      <c r="C214" s="135" t="str">
        <f t="shared" si="55"/>
        <v/>
      </c>
      <c r="D214" s="113"/>
      <c r="E214" s="92"/>
      <c r="F214" s="92"/>
      <c r="G214" s="92"/>
      <c r="H214" s="113"/>
      <c r="I214" s="80"/>
      <c r="J214" s="80"/>
      <c r="K214" s="83"/>
      <c r="L214" s="82"/>
      <c r="M214" s="113"/>
      <c r="N214" s="146"/>
      <c r="O214" s="113"/>
      <c r="P214" s="147"/>
      <c r="Q214" s="23"/>
      <c r="R214" s="23"/>
      <c r="S214" s="8">
        <f t="shared" si="52"/>
        <v>104</v>
      </c>
      <c r="U214" s="8">
        <f t="shared" si="56"/>
        <v>0</v>
      </c>
    </row>
    <row r="215" spans="1:21" ht="15.75" hidden="1" customHeight="1">
      <c r="A215" s="136" t="str">
        <f t="shared" si="53"/>
        <v/>
      </c>
      <c r="B215" s="137" t="str">
        <f t="shared" si="54"/>
        <v/>
      </c>
      <c r="C215" s="135" t="str">
        <f t="shared" si="55"/>
        <v/>
      </c>
      <c r="D215" s="113"/>
      <c r="E215" s="92"/>
      <c r="F215" s="92"/>
      <c r="G215" s="92"/>
      <c r="H215" s="113"/>
      <c r="I215" s="80"/>
      <c r="J215" s="80"/>
      <c r="K215" s="83"/>
      <c r="L215" s="82"/>
      <c r="M215" s="113"/>
      <c r="N215" s="146"/>
      <c r="O215" s="113"/>
      <c r="P215" s="147"/>
      <c r="Q215" s="23"/>
      <c r="R215" s="23"/>
      <c r="S215" s="8">
        <f t="shared" si="52"/>
        <v>105</v>
      </c>
      <c r="U215" s="8">
        <f t="shared" si="56"/>
        <v>0</v>
      </c>
    </row>
    <row r="216" spans="1:21" ht="15.75" hidden="1" customHeight="1">
      <c r="A216" s="136" t="str">
        <f t="shared" si="53"/>
        <v/>
      </c>
      <c r="B216" s="137" t="str">
        <f t="shared" si="54"/>
        <v/>
      </c>
      <c r="C216" s="135" t="str">
        <f t="shared" si="55"/>
        <v/>
      </c>
      <c r="D216" s="113"/>
      <c r="E216" s="92"/>
      <c r="F216" s="92"/>
      <c r="G216" s="92"/>
      <c r="H216" s="113"/>
      <c r="I216" s="80"/>
      <c r="J216" s="80"/>
      <c r="K216" s="83"/>
      <c r="L216" s="82"/>
      <c r="M216" s="113"/>
      <c r="N216" s="146"/>
      <c r="O216" s="113"/>
      <c r="P216" s="147"/>
      <c r="Q216" s="23"/>
      <c r="R216" s="23"/>
      <c r="S216" s="8">
        <f t="shared" si="52"/>
        <v>106</v>
      </c>
      <c r="U216" s="8">
        <f t="shared" si="56"/>
        <v>0</v>
      </c>
    </row>
    <row r="217" spans="1:21" ht="15.75" hidden="1" customHeight="1">
      <c r="A217" s="136" t="str">
        <f t="shared" si="53"/>
        <v/>
      </c>
      <c r="B217" s="137" t="str">
        <f t="shared" si="54"/>
        <v/>
      </c>
      <c r="C217" s="135" t="str">
        <f t="shared" si="55"/>
        <v/>
      </c>
      <c r="D217" s="113"/>
      <c r="E217" s="92"/>
      <c r="F217" s="92"/>
      <c r="G217" s="92"/>
      <c r="H217" s="113"/>
      <c r="I217" s="80"/>
      <c r="J217" s="80"/>
      <c r="K217" s="83"/>
      <c r="L217" s="82"/>
      <c r="M217" s="113"/>
      <c r="N217" s="146"/>
      <c r="O217" s="113"/>
      <c r="P217" s="147"/>
      <c r="Q217" s="23"/>
      <c r="R217" s="23"/>
      <c r="S217" s="8">
        <f t="shared" si="52"/>
        <v>107</v>
      </c>
      <c r="U217" s="8">
        <f t="shared" si="56"/>
        <v>0</v>
      </c>
    </row>
    <row r="218" spans="1:21" ht="15.75" hidden="1" customHeight="1">
      <c r="A218" s="136" t="str">
        <f t="shared" si="53"/>
        <v/>
      </c>
      <c r="B218" s="137" t="str">
        <f t="shared" si="54"/>
        <v/>
      </c>
      <c r="C218" s="135" t="str">
        <f t="shared" si="55"/>
        <v/>
      </c>
      <c r="D218" s="113"/>
      <c r="E218" s="92"/>
      <c r="F218" s="92"/>
      <c r="G218" s="92"/>
      <c r="H218" s="113"/>
      <c r="I218" s="80"/>
      <c r="J218" s="80"/>
      <c r="K218" s="83"/>
      <c r="L218" s="82"/>
      <c r="M218" s="113"/>
      <c r="N218" s="146"/>
      <c r="O218" s="113"/>
      <c r="P218" s="147"/>
      <c r="Q218" s="23"/>
      <c r="R218" s="23"/>
      <c r="S218" s="8">
        <f t="shared" si="52"/>
        <v>108</v>
      </c>
      <c r="U218" s="8">
        <f t="shared" si="56"/>
        <v>0</v>
      </c>
    </row>
    <row r="219" spans="1:21" ht="15.75" hidden="1" customHeight="1">
      <c r="A219" s="136" t="str">
        <f t="shared" si="53"/>
        <v/>
      </c>
      <c r="B219" s="137" t="str">
        <f t="shared" si="54"/>
        <v/>
      </c>
      <c r="C219" s="135" t="str">
        <f t="shared" si="55"/>
        <v/>
      </c>
      <c r="D219" s="113"/>
      <c r="E219" s="92"/>
      <c r="F219" s="92"/>
      <c r="G219" s="92"/>
      <c r="H219" s="113"/>
      <c r="I219" s="80"/>
      <c r="J219" s="80"/>
      <c r="K219" s="83"/>
      <c r="L219" s="82"/>
      <c r="M219" s="113"/>
      <c r="N219" s="146"/>
      <c r="O219" s="113"/>
      <c r="P219" s="147"/>
      <c r="Q219" s="23"/>
      <c r="R219" s="23"/>
      <c r="S219" s="8">
        <f t="shared" si="52"/>
        <v>109</v>
      </c>
      <c r="U219" s="8">
        <f t="shared" si="56"/>
        <v>0</v>
      </c>
    </row>
    <row r="220" spans="1:21" ht="15.75" hidden="1" customHeight="1">
      <c r="A220" s="136" t="str">
        <f t="shared" si="53"/>
        <v/>
      </c>
      <c r="B220" s="137" t="str">
        <f t="shared" si="54"/>
        <v/>
      </c>
      <c r="C220" s="135" t="str">
        <f t="shared" si="55"/>
        <v/>
      </c>
      <c r="D220" s="113"/>
      <c r="E220" s="92"/>
      <c r="F220" s="92"/>
      <c r="G220" s="92"/>
      <c r="H220" s="113"/>
      <c r="I220" s="80"/>
      <c r="J220" s="80"/>
      <c r="K220" s="83"/>
      <c r="L220" s="82"/>
      <c r="M220" s="113"/>
      <c r="N220" s="146"/>
      <c r="O220" s="113"/>
      <c r="P220" s="147"/>
      <c r="Q220" s="23"/>
      <c r="R220" s="23"/>
      <c r="S220" s="8">
        <f t="shared" si="52"/>
        <v>110</v>
      </c>
      <c r="U220" s="8">
        <f t="shared" si="56"/>
        <v>0</v>
      </c>
    </row>
    <row r="221" spans="1:21" ht="15.75" hidden="1" customHeight="1">
      <c r="A221" s="136" t="str">
        <f t="shared" si="53"/>
        <v/>
      </c>
      <c r="B221" s="137" t="str">
        <f t="shared" si="54"/>
        <v/>
      </c>
      <c r="C221" s="135" t="str">
        <f t="shared" si="55"/>
        <v/>
      </c>
      <c r="D221" s="113"/>
      <c r="E221" s="92"/>
      <c r="F221" s="92"/>
      <c r="G221" s="92"/>
      <c r="H221" s="113"/>
      <c r="I221" s="80"/>
      <c r="J221" s="80"/>
      <c r="K221" s="83"/>
      <c r="L221" s="82"/>
      <c r="M221" s="113"/>
      <c r="N221" s="146"/>
      <c r="O221" s="113"/>
      <c r="P221" s="147"/>
      <c r="Q221" s="23"/>
      <c r="R221" s="23"/>
      <c r="S221" s="8">
        <f t="shared" si="52"/>
        <v>111</v>
      </c>
      <c r="U221" s="8">
        <f t="shared" si="56"/>
        <v>0</v>
      </c>
    </row>
    <row r="222" spans="1:21" ht="15.75" hidden="1" customHeight="1">
      <c r="A222" s="136" t="str">
        <f t="shared" si="53"/>
        <v/>
      </c>
      <c r="B222" s="137" t="str">
        <f t="shared" si="54"/>
        <v/>
      </c>
      <c r="C222" s="135" t="str">
        <f t="shared" si="55"/>
        <v/>
      </c>
      <c r="D222" s="113"/>
      <c r="E222" s="92"/>
      <c r="F222" s="92"/>
      <c r="G222" s="92"/>
      <c r="H222" s="113"/>
      <c r="I222" s="80"/>
      <c r="J222" s="80"/>
      <c r="K222" s="83"/>
      <c r="L222" s="82"/>
      <c r="M222" s="113"/>
      <c r="N222" s="146"/>
      <c r="O222" s="113"/>
      <c r="P222" s="147"/>
      <c r="Q222" s="23"/>
      <c r="R222" s="23"/>
      <c r="S222" s="8">
        <f t="shared" si="52"/>
        <v>112</v>
      </c>
      <c r="U222" s="8">
        <f t="shared" si="56"/>
        <v>0</v>
      </c>
    </row>
    <row r="223" spans="1:21" ht="15.75" hidden="1" customHeight="1">
      <c r="A223" s="136" t="str">
        <f t="shared" si="53"/>
        <v/>
      </c>
      <c r="B223" s="137" t="str">
        <f t="shared" si="54"/>
        <v/>
      </c>
      <c r="C223" s="135" t="str">
        <f t="shared" si="55"/>
        <v/>
      </c>
      <c r="D223" s="113"/>
      <c r="E223" s="92"/>
      <c r="F223" s="92"/>
      <c r="G223" s="92"/>
      <c r="H223" s="113"/>
      <c r="I223" s="80"/>
      <c r="J223" s="80"/>
      <c r="K223" s="83"/>
      <c r="L223" s="82"/>
      <c r="M223" s="113"/>
      <c r="N223" s="146"/>
      <c r="O223" s="113"/>
      <c r="P223" s="147"/>
      <c r="Q223" s="23"/>
      <c r="R223" s="23"/>
      <c r="S223" s="8">
        <f t="shared" si="52"/>
        <v>113</v>
      </c>
      <c r="U223" s="8">
        <f t="shared" si="56"/>
        <v>0</v>
      </c>
    </row>
    <row r="224" spans="1:21" ht="15.75" hidden="1" customHeight="1">
      <c r="A224" s="136" t="str">
        <f t="shared" si="53"/>
        <v/>
      </c>
      <c r="B224" s="137" t="str">
        <f t="shared" si="54"/>
        <v/>
      </c>
      <c r="C224" s="135" t="str">
        <f t="shared" si="55"/>
        <v/>
      </c>
      <c r="D224" s="113"/>
      <c r="E224" s="92"/>
      <c r="F224" s="92"/>
      <c r="G224" s="92"/>
      <c r="H224" s="113"/>
      <c r="I224" s="80"/>
      <c r="J224" s="80"/>
      <c r="K224" s="83"/>
      <c r="L224" s="82"/>
      <c r="M224" s="113"/>
      <c r="N224" s="146"/>
      <c r="O224" s="113"/>
      <c r="P224" s="147"/>
      <c r="Q224" s="23"/>
      <c r="R224" s="23"/>
      <c r="S224" s="8">
        <f t="shared" si="52"/>
        <v>114</v>
      </c>
      <c r="U224" s="8">
        <f t="shared" si="56"/>
        <v>0</v>
      </c>
    </row>
    <row r="225" spans="1:21" ht="15.75" hidden="1" customHeight="1">
      <c r="A225" s="136" t="str">
        <f t="shared" si="53"/>
        <v/>
      </c>
      <c r="B225" s="137" t="str">
        <f t="shared" si="54"/>
        <v/>
      </c>
      <c r="C225" s="135" t="str">
        <f t="shared" si="55"/>
        <v/>
      </c>
      <c r="D225" s="113"/>
      <c r="E225" s="92"/>
      <c r="F225" s="92"/>
      <c r="G225" s="92"/>
      <c r="H225" s="113"/>
      <c r="I225" s="80"/>
      <c r="J225" s="80"/>
      <c r="K225" s="83"/>
      <c r="L225" s="82"/>
      <c r="M225" s="113"/>
      <c r="N225" s="146"/>
      <c r="O225" s="113"/>
      <c r="P225" s="147"/>
      <c r="Q225" s="23"/>
      <c r="R225" s="23"/>
      <c r="S225" s="8">
        <f t="shared" si="52"/>
        <v>115</v>
      </c>
      <c r="U225" s="8">
        <f t="shared" si="56"/>
        <v>0</v>
      </c>
    </row>
    <row r="226" spans="1:21" ht="15.75" hidden="1" customHeight="1">
      <c r="A226" s="136" t="str">
        <f t="shared" si="53"/>
        <v/>
      </c>
      <c r="B226" s="137" t="str">
        <f t="shared" si="54"/>
        <v/>
      </c>
      <c r="C226" s="135" t="str">
        <f t="shared" si="55"/>
        <v/>
      </c>
      <c r="D226" s="113"/>
      <c r="E226" s="92"/>
      <c r="F226" s="92"/>
      <c r="G226" s="92"/>
      <c r="H226" s="113"/>
      <c r="I226" s="80"/>
      <c r="J226" s="80"/>
      <c r="K226" s="83"/>
      <c r="L226" s="82"/>
      <c r="M226" s="113"/>
      <c r="N226" s="146"/>
      <c r="O226" s="113"/>
      <c r="P226" s="147"/>
      <c r="Q226" s="23"/>
      <c r="R226" s="23"/>
      <c r="S226" s="8">
        <f t="shared" si="52"/>
        <v>116</v>
      </c>
      <c r="U226" s="8">
        <f t="shared" si="56"/>
        <v>0</v>
      </c>
    </row>
    <row r="227" spans="1:21" ht="15.75" hidden="1" customHeight="1">
      <c r="A227" s="136" t="str">
        <f t="shared" si="53"/>
        <v/>
      </c>
      <c r="B227" s="137" t="str">
        <f t="shared" si="54"/>
        <v/>
      </c>
      <c r="C227" s="135" t="str">
        <f t="shared" si="55"/>
        <v/>
      </c>
      <c r="D227" s="113"/>
      <c r="E227" s="92"/>
      <c r="F227" s="92"/>
      <c r="G227" s="92"/>
      <c r="H227" s="113"/>
      <c r="I227" s="80"/>
      <c r="J227" s="80"/>
      <c r="K227" s="83"/>
      <c r="L227" s="82"/>
      <c r="M227" s="113"/>
      <c r="N227" s="146"/>
      <c r="O227" s="113"/>
      <c r="P227" s="147"/>
      <c r="Q227" s="23"/>
      <c r="R227" s="23"/>
      <c r="S227" s="8">
        <f t="shared" si="52"/>
        <v>117</v>
      </c>
      <c r="U227" s="8">
        <f t="shared" si="56"/>
        <v>0</v>
      </c>
    </row>
    <row r="228" spans="1:21" ht="15.75" hidden="1" customHeight="1">
      <c r="A228" s="136" t="str">
        <f t="shared" si="53"/>
        <v/>
      </c>
      <c r="B228" s="137" t="str">
        <f t="shared" si="54"/>
        <v/>
      </c>
      <c r="C228" s="135" t="str">
        <f t="shared" si="55"/>
        <v/>
      </c>
      <c r="D228" s="113"/>
      <c r="E228" s="92"/>
      <c r="F228" s="92"/>
      <c r="G228" s="92"/>
      <c r="H228" s="113"/>
      <c r="I228" s="80"/>
      <c r="J228" s="80"/>
      <c r="K228" s="83"/>
      <c r="L228" s="82"/>
      <c r="M228" s="113"/>
      <c r="N228" s="146"/>
      <c r="O228" s="113"/>
      <c r="P228" s="147"/>
      <c r="Q228" s="23"/>
      <c r="R228" s="23"/>
      <c r="S228" s="8">
        <f t="shared" si="52"/>
        <v>118</v>
      </c>
      <c r="U228" s="8">
        <f t="shared" si="56"/>
        <v>0</v>
      </c>
    </row>
    <row r="229" spans="1:21" ht="15.75" hidden="1" customHeight="1">
      <c r="A229" s="136" t="str">
        <f t="shared" si="53"/>
        <v/>
      </c>
      <c r="B229" s="137" t="str">
        <f t="shared" si="54"/>
        <v/>
      </c>
      <c r="C229" s="135" t="str">
        <f t="shared" si="55"/>
        <v/>
      </c>
      <c r="D229" s="113"/>
      <c r="E229" s="92"/>
      <c r="F229" s="92"/>
      <c r="G229" s="92"/>
      <c r="H229" s="113"/>
      <c r="I229" s="80"/>
      <c r="J229" s="80"/>
      <c r="K229" s="83"/>
      <c r="L229" s="82"/>
      <c r="M229" s="113"/>
      <c r="N229" s="146"/>
      <c r="O229" s="113"/>
      <c r="P229" s="147"/>
      <c r="Q229" s="23"/>
      <c r="R229" s="23"/>
      <c r="S229" s="8">
        <f t="shared" si="52"/>
        <v>119</v>
      </c>
      <c r="U229" s="8">
        <f t="shared" si="56"/>
        <v>0</v>
      </c>
    </row>
    <row r="230" spans="1:21" ht="15.75" hidden="1" customHeight="1">
      <c r="A230" s="136" t="str">
        <f t="shared" si="53"/>
        <v/>
      </c>
      <c r="B230" s="137" t="str">
        <f t="shared" si="54"/>
        <v/>
      </c>
      <c r="C230" s="135" t="str">
        <f t="shared" si="55"/>
        <v/>
      </c>
      <c r="D230" s="113"/>
      <c r="E230" s="92"/>
      <c r="F230" s="92"/>
      <c r="G230" s="92"/>
      <c r="H230" s="113"/>
      <c r="I230" s="80"/>
      <c r="J230" s="80"/>
      <c r="K230" s="83"/>
      <c r="L230" s="82"/>
      <c r="M230" s="113"/>
      <c r="N230" s="146"/>
      <c r="O230" s="113"/>
      <c r="P230" s="147"/>
      <c r="Q230" s="23"/>
      <c r="R230" s="23"/>
      <c r="S230" s="8">
        <f t="shared" si="52"/>
        <v>120</v>
      </c>
      <c r="U230" s="8">
        <f t="shared" si="56"/>
        <v>0</v>
      </c>
    </row>
    <row r="231" spans="1:21" ht="15.75" hidden="1" customHeight="1">
      <c r="A231" s="136" t="str">
        <f t="shared" si="53"/>
        <v/>
      </c>
      <c r="B231" s="137" t="str">
        <f t="shared" si="54"/>
        <v/>
      </c>
      <c r="C231" s="135" t="str">
        <f t="shared" si="55"/>
        <v/>
      </c>
      <c r="D231" s="113"/>
      <c r="E231" s="92"/>
      <c r="F231" s="92"/>
      <c r="G231" s="92"/>
      <c r="H231" s="113"/>
      <c r="I231" s="80"/>
      <c r="J231" s="80"/>
      <c r="K231" s="83"/>
      <c r="L231" s="82"/>
      <c r="M231" s="113"/>
      <c r="N231" s="146"/>
      <c r="O231" s="113"/>
      <c r="P231" s="147"/>
      <c r="Q231" s="23"/>
      <c r="R231" s="23"/>
      <c r="S231" s="8">
        <f t="shared" si="52"/>
        <v>121</v>
      </c>
      <c r="U231" s="8">
        <f t="shared" si="56"/>
        <v>0</v>
      </c>
    </row>
    <row r="232" spans="1:21" ht="15.75" hidden="1" customHeight="1">
      <c r="A232" s="136" t="str">
        <f t="shared" si="53"/>
        <v/>
      </c>
      <c r="B232" s="137" t="str">
        <f t="shared" si="54"/>
        <v/>
      </c>
      <c r="C232" s="135" t="str">
        <f t="shared" si="55"/>
        <v/>
      </c>
      <c r="D232" s="113"/>
      <c r="E232" s="92"/>
      <c r="F232" s="92"/>
      <c r="G232" s="92"/>
      <c r="H232" s="113"/>
      <c r="I232" s="80"/>
      <c r="J232" s="80"/>
      <c r="K232" s="83"/>
      <c r="L232" s="82"/>
      <c r="M232" s="113"/>
      <c r="N232" s="146"/>
      <c r="O232" s="113"/>
      <c r="P232" s="147"/>
      <c r="Q232" s="23"/>
      <c r="R232" s="23"/>
      <c r="S232" s="8">
        <f t="shared" si="52"/>
        <v>122</v>
      </c>
      <c r="U232" s="8">
        <f t="shared" si="56"/>
        <v>0</v>
      </c>
    </row>
    <row r="233" spans="1:21" ht="15.75" hidden="1" customHeight="1">
      <c r="A233" s="136" t="str">
        <f t="shared" si="53"/>
        <v/>
      </c>
      <c r="B233" s="137" t="str">
        <f t="shared" si="54"/>
        <v/>
      </c>
      <c r="C233" s="135" t="str">
        <f t="shared" si="55"/>
        <v/>
      </c>
      <c r="D233" s="113"/>
      <c r="E233" s="92"/>
      <c r="F233" s="92"/>
      <c r="G233" s="92"/>
      <c r="H233" s="113"/>
      <c r="I233" s="80"/>
      <c r="J233" s="80"/>
      <c r="K233" s="83"/>
      <c r="L233" s="82"/>
      <c r="M233" s="113"/>
      <c r="N233" s="146"/>
      <c r="O233" s="113"/>
      <c r="P233" s="147"/>
      <c r="Q233" s="23"/>
      <c r="R233" s="23"/>
      <c r="S233" s="8">
        <f t="shared" si="52"/>
        <v>123</v>
      </c>
      <c r="U233" s="8">
        <f t="shared" si="56"/>
        <v>0</v>
      </c>
    </row>
    <row r="234" spans="1:21" ht="15.75" hidden="1" customHeight="1">
      <c r="A234" s="136" t="str">
        <f t="shared" si="53"/>
        <v/>
      </c>
      <c r="B234" s="137" t="str">
        <f t="shared" si="54"/>
        <v/>
      </c>
      <c r="C234" s="135" t="str">
        <f t="shared" si="55"/>
        <v/>
      </c>
      <c r="D234" s="113"/>
      <c r="E234" s="92"/>
      <c r="F234" s="92"/>
      <c r="G234" s="92"/>
      <c r="H234" s="113"/>
      <c r="I234" s="80"/>
      <c r="J234" s="80"/>
      <c r="K234" s="83"/>
      <c r="L234" s="82"/>
      <c r="M234" s="113"/>
      <c r="N234" s="146"/>
      <c r="O234" s="113"/>
      <c r="P234" s="147"/>
      <c r="Q234" s="23"/>
      <c r="R234" s="23"/>
      <c r="S234" s="8">
        <f t="shared" si="52"/>
        <v>124</v>
      </c>
      <c r="U234" s="8">
        <f t="shared" si="56"/>
        <v>0</v>
      </c>
    </row>
    <row r="235" spans="1:21" ht="15.75" hidden="1" customHeight="1">
      <c r="A235" s="136" t="str">
        <f t="shared" si="53"/>
        <v/>
      </c>
      <c r="B235" s="137" t="str">
        <f t="shared" si="54"/>
        <v/>
      </c>
      <c r="C235" s="135" t="str">
        <f t="shared" si="55"/>
        <v/>
      </c>
      <c r="D235" s="113"/>
      <c r="E235" s="92"/>
      <c r="F235" s="92"/>
      <c r="G235" s="92"/>
      <c r="H235" s="113"/>
      <c r="I235" s="80"/>
      <c r="J235" s="80"/>
      <c r="K235" s="83"/>
      <c r="L235" s="82"/>
      <c r="M235" s="113"/>
      <c r="N235" s="146"/>
      <c r="O235" s="113"/>
      <c r="P235" s="147"/>
      <c r="Q235" s="23"/>
      <c r="R235" s="23"/>
      <c r="S235" s="8">
        <f t="shared" si="52"/>
        <v>125</v>
      </c>
      <c r="U235" s="8">
        <f t="shared" si="56"/>
        <v>0</v>
      </c>
    </row>
    <row r="236" spans="1:21" ht="15.75" hidden="1" customHeight="1">
      <c r="A236" s="136" t="str">
        <f t="shared" si="53"/>
        <v/>
      </c>
      <c r="B236" s="137" t="str">
        <f t="shared" si="54"/>
        <v/>
      </c>
      <c r="C236" s="135" t="str">
        <f t="shared" si="55"/>
        <v/>
      </c>
      <c r="D236" s="113"/>
      <c r="E236" s="92"/>
      <c r="F236" s="92"/>
      <c r="G236" s="92"/>
      <c r="H236" s="113"/>
      <c r="I236" s="80"/>
      <c r="J236" s="80"/>
      <c r="K236" s="83"/>
      <c r="L236" s="82"/>
      <c r="M236" s="113"/>
      <c r="N236" s="146"/>
      <c r="O236" s="113"/>
      <c r="P236" s="147"/>
      <c r="Q236" s="23"/>
      <c r="R236" s="23"/>
      <c r="S236" s="8">
        <f t="shared" si="52"/>
        <v>126</v>
      </c>
      <c r="U236" s="8">
        <f t="shared" si="56"/>
        <v>0</v>
      </c>
    </row>
    <row r="237" spans="1:21" ht="15.75" hidden="1" customHeight="1">
      <c r="A237" s="136" t="str">
        <f t="shared" si="53"/>
        <v/>
      </c>
      <c r="B237" s="137" t="str">
        <f t="shared" si="54"/>
        <v/>
      </c>
      <c r="C237" s="135" t="str">
        <f t="shared" si="55"/>
        <v/>
      </c>
      <c r="D237" s="113"/>
      <c r="E237" s="92"/>
      <c r="F237" s="92"/>
      <c r="G237" s="92"/>
      <c r="H237" s="113"/>
      <c r="I237" s="80"/>
      <c r="J237" s="80"/>
      <c r="K237" s="83"/>
      <c r="L237" s="82"/>
      <c r="M237" s="113"/>
      <c r="N237" s="146"/>
      <c r="O237" s="113"/>
      <c r="P237" s="147"/>
      <c r="Q237" s="23"/>
      <c r="R237" s="23"/>
      <c r="S237" s="8">
        <f t="shared" si="52"/>
        <v>127</v>
      </c>
      <c r="U237" s="8">
        <f t="shared" si="56"/>
        <v>0</v>
      </c>
    </row>
    <row r="238" spans="1:21" ht="15.75" hidden="1" customHeight="1">
      <c r="A238" s="136" t="str">
        <f t="shared" si="53"/>
        <v/>
      </c>
      <c r="B238" s="137" t="str">
        <f t="shared" si="54"/>
        <v/>
      </c>
      <c r="C238" s="135" t="str">
        <f t="shared" si="55"/>
        <v/>
      </c>
      <c r="D238" s="113"/>
      <c r="E238" s="92"/>
      <c r="F238" s="92"/>
      <c r="G238" s="92"/>
      <c r="H238" s="113"/>
      <c r="I238" s="80"/>
      <c r="J238" s="80"/>
      <c r="K238" s="83"/>
      <c r="L238" s="82"/>
      <c r="M238" s="113"/>
      <c r="N238" s="146"/>
      <c r="O238" s="113"/>
      <c r="P238" s="147"/>
      <c r="Q238" s="23"/>
      <c r="R238" s="23"/>
      <c r="S238" s="8">
        <f t="shared" si="52"/>
        <v>128</v>
      </c>
      <c r="U238" s="8">
        <f t="shared" si="56"/>
        <v>0</v>
      </c>
    </row>
    <row r="239" spans="1:21" ht="15.75" hidden="1" customHeight="1">
      <c r="A239" s="136" t="str">
        <f t="shared" si="53"/>
        <v/>
      </c>
      <c r="B239" s="137" t="str">
        <f t="shared" si="54"/>
        <v/>
      </c>
      <c r="C239" s="135" t="str">
        <f t="shared" si="55"/>
        <v/>
      </c>
      <c r="D239" s="113"/>
      <c r="E239" s="92"/>
      <c r="F239" s="92"/>
      <c r="G239" s="92"/>
      <c r="H239" s="113"/>
      <c r="I239" s="80"/>
      <c r="J239" s="80"/>
      <c r="K239" s="83"/>
      <c r="L239" s="82"/>
      <c r="M239" s="113"/>
      <c r="N239" s="146"/>
      <c r="O239" s="113"/>
      <c r="P239" s="147"/>
      <c r="Q239" s="23"/>
      <c r="R239" s="23"/>
      <c r="S239" s="8">
        <f t="shared" si="52"/>
        <v>129</v>
      </c>
      <c r="U239" s="8">
        <f t="shared" si="56"/>
        <v>0</v>
      </c>
    </row>
    <row r="240" spans="1:21" ht="15.75" hidden="1" customHeight="1">
      <c r="A240" s="136" t="str">
        <f t="shared" ref="A240:A361" si="57">+IF($U240=1,INDEX(ChangeData,$S240,1),"")</f>
        <v/>
      </c>
      <c r="B240" s="137" t="str">
        <f t="shared" ref="B240:B361" si="58">+IF($U240=1,INDEX(ChangeData,$S240,3),"")</f>
        <v/>
      </c>
      <c r="C240" s="135" t="str">
        <f t="shared" ref="C240:C361" si="59">+IF($U240=1,INDEX(ChangeData,$S240,4),"")</f>
        <v/>
      </c>
      <c r="D240" s="113"/>
      <c r="E240" s="92"/>
      <c r="F240" s="92"/>
      <c r="G240" s="92"/>
      <c r="H240" s="113"/>
      <c r="I240" s="80"/>
      <c r="J240" s="80"/>
      <c r="K240" s="83"/>
      <c r="L240" s="82"/>
      <c r="M240" s="113"/>
      <c r="N240" s="146"/>
      <c r="O240" s="113"/>
      <c r="P240" s="147"/>
      <c r="Q240" s="23"/>
      <c r="R240" s="23"/>
      <c r="S240" s="8">
        <f t="shared" si="52"/>
        <v>130</v>
      </c>
      <c r="U240" s="8">
        <f t="shared" ref="U240:U260" si="60">IF(LEN(INDEX(ChangeData,S240,1))&gt;0,1,0)</f>
        <v>0</v>
      </c>
    </row>
    <row r="241" spans="1:21" ht="15.75" hidden="1" customHeight="1">
      <c r="A241" s="136" t="str">
        <f t="shared" si="57"/>
        <v/>
      </c>
      <c r="B241" s="137" t="str">
        <f t="shared" si="58"/>
        <v/>
      </c>
      <c r="C241" s="135" t="str">
        <f t="shared" si="59"/>
        <v/>
      </c>
      <c r="D241" s="113"/>
      <c r="E241" s="92"/>
      <c r="F241" s="92"/>
      <c r="G241" s="92"/>
      <c r="H241" s="113"/>
      <c r="I241" s="80"/>
      <c r="J241" s="80"/>
      <c r="K241" s="83"/>
      <c r="L241" s="82"/>
      <c r="M241" s="113"/>
      <c r="N241" s="146"/>
      <c r="O241" s="113"/>
      <c r="P241" s="147"/>
      <c r="Q241" s="23"/>
      <c r="R241" s="23"/>
      <c r="S241" s="8">
        <f t="shared" ref="S241:S304" si="61">+S240+1</f>
        <v>131</v>
      </c>
      <c r="U241" s="8">
        <f t="shared" si="60"/>
        <v>0</v>
      </c>
    </row>
    <row r="242" spans="1:21" ht="15.75" hidden="1" customHeight="1">
      <c r="A242" s="136" t="str">
        <f t="shared" si="57"/>
        <v/>
      </c>
      <c r="B242" s="137" t="str">
        <f t="shared" si="58"/>
        <v/>
      </c>
      <c r="C242" s="135" t="str">
        <f t="shared" si="59"/>
        <v/>
      </c>
      <c r="D242" s="113"/>
      <c r="E242" s="92"/>
      <c r="F242" s="92"/>
      <c r="G242" s="92"/>
      <c r="H242" s="113"/>
      <c r="I242" s="80"/>
      <c r="J242" s="80"/>
      <c r="K242" s="83"/>
      <c r="L242" s="82"/>
      <c r="M242" s="113"/>
      <c r="N242" s="146"/>
      <c r="O242" s="113"/>
      <c r="P242" s="147"/>
      <c r="Q242" s="23"/>
      <c r="R242" s="23"/>
      <c r="S242" s="8">
        <f t="shared" si="61"/>
        <v>132</v>
      </c>
      <c r="U242" s="8">
        <f t="shared" si="60"/>
        <v>0</v>
      </c>
    </row>
    <row r="243" spans="1:21" ht="15.75" hidden="1" customHeight="1">
      <c r="A243" s="136" t="str">
        <f t="shared" si="57"/>
        <v/>
      </c>
      <c r="B243" s="137" t="str">
        <f t="shared" si="58"/>
        <v/>
      </c>
      <c r="C243" s="135" t="str">
        <f t="shared" si="59"/>
        <v/>
      </c>
      <c r="D243" s="113"/>
      <c r="E243" s="92"/>
      <c r="F243" s="92"/>
      <c r="G243" s="92"/>
      <c r="H243" s="113"/>
      <c r="I243" s="80"/>
      <c r="J243" s="80"/>
      <c r="K243" s="83"/>
      <c r="L243" s="82"/>
      <c r="M243" s="113"/>
      <c r="N243" s="146"/>
      <c r="O243" s="113"/>
      <c r="P243" s="147"/>
      <c r="Q243" s="23"/>
      <c r="R243" s="23"/>
      <c r="S243" s="8">
        <f t="shared" si="61"/>
        <v>133</v>
      </c>
      <c r="U243" s="8">
        <f t="shared" si="60"/>
        <v>0</v>
      </c>
    </row>
    <row r="244" spans="1:21" ht="15.75" hidden="1" customHeight="1">
      <c r="A244" s="136" t="str">
        <f t="shared" si="57"/>
        <v/>
      </c>
      <c r="B244" s="137" t="str">
        <f t="shared" si="58"/>
        <v/>
      </c>
      <c r="C244" s="135" t="str">
        <f t="shared" si="59"/>
        <v/>
      </c>
      <c r="D244" s="113"/>
      <c r="E244" s="92"/>
      <c r="F244" s="92"/>
      <c r="G244" s="92"/>
      <c r="H244" s="113"/>
      <c r="I244" s="80"/>
      <c r="J244" s="80"/>
      <c r="K244" s="83"/>
      <c r="L244" s="82"/>
      <c r="M244" s="113"/>
      <c r="N244" s="146"/>
      <c r="O244" s="113"/>
      <c r="P244" s="147"/>
      <c r="Q244" s="23"/>
      <c r="R244" s="23"/>
      <c r="S244" s="8">
        <f t="shared" si="61"/>
        <v>134</v>
      </c>
      <c r="U244" s="8">
        <f t="shared" si="60"/>
        <v>0</v>
      </c>
    </row>
    <row r="245" spans="1:21" ht="15.75" hidden="1" customHeight="1">
      <c r="A245" s="136" t="str">
        <f t="shared" si="57"/>
        <v/>
      </c>
      <c r="B245" s="137" t="str">
        <f t="shared" si="58"/>
        <v/>
      </c>
      <c r="C245" s="135" t="str">
        <f t="shared" si="59"/>
        <v/>
      </c>
      <c r="D245" s="113"/>
      <c r="E245" s="92"/>
      <c r="F245" s="92"/>
      <c r="G245" s="92"/>
      <c r="H245" s="113"/>
      <c r="I245" s="80"/>
      <c r="J245" s="80"/>
      <c r="K245" s="83"/>
      <c r="L245" s="82"/>
      <c r="M245" s="113"/>
      <c r="N245" s="146"/>
      <c r="O245" s="113"/>
      <c r="P245" s="147"/>
      <c r="Q245" s="23"/>
      <c r="R245" s="23"/>
      <c r="S245" s="8">
        <f t="shared" si="61"/>
        <v>135</v>
      </c>
      <c r="U245" s="8">
        <f t="shared" si="60"/>
        <v>0</v>
      </c>
    </row>
    <row r="246" spans="1:21" ht="15.75" hidden="1" customHeight="1">
      <c r="A246" s="136" t="str">
        <f t="shared" si="57"/>
        <v/>
      </c>
      <c r="B246" s="137" t="str">
        <f t="shared" si="58"/>
        <v/>
      </c>
      <c r="C246" s="135" t="str">
        <f t="shared" si="59"/>
        <v/>
      </c>
      <c r="D246" s="113"/>
      <c r="E246" s="92"/>
      <c r="F246" s="92"/>
      <c r="G246" s="92"/>
      <c r="H246" s="113"/>
      <c r="I246" s="80"/>
      <c r="J246" s="80"/>
      <c r="K246" s="83"/>
      <c r="L246" s="82"/>
      <c r="M246" s="113"/>
      <c r="N246" s="146"/>
      <c r="O246" s="113"/>
      <c r="P246" s="147"/>
      <c r="Q246" s="23"/>
      <c r="R246" s="23"/>
      <c r="S246" s="8">
        <f t="shared" si="61"/>
        <v>136</v>
      </c>
      <c r="U246" s="8">
        <f t="shared" si="60"/>
        <v>0</v>
      </c>
    </row>
    <row r="247" spans="1:21" ht="15.75" hidden="1" customHeight="1">
      <c r="A247" s="136" t="str">
        <f t="shared" si="57"/>
        <v/>
      </c>
      <c r="B247" s="137" t="str">
        <f t="shared" si="58"/>
        <v/>
      </c>
      <c r="C247" s="135" t="str">
        <f t="shared" si="59"/>
        <v/>
      </c>
      <c r="D247" s="113"/>
      <c r="E247" s="92"/>
      <c r="F247" s="92"/>
      <c r="G247" s="92"/>
      <c r="H247" s="113"/>
      <c r="I247" s="80"/>
      <c r="J247" s="80"/>
      <c r="K247" s="83"/>
      <c r="L247" s="82"/>
      <c r="M247" s="113"/>
      <c r="N247" s="146"/>
      <c r="O247" s="113"/>
      <c r="P247" s="147"/>
      <c r="Q247" s="23"/>
      <c r="R247" s="23"/>
      <c r="S247" s="8">
        <f t="shared" si="61"/>
        <v>137</v>
      </c>
      <c r="U247" s="8">
        <f t="shared" si="60"/>
        <v>0</v>
      </c>
    </row>
    <row r="248" spans="1:21" ht="15.75" hidden="1" customHeight="1">
      <c r="A248" s="136" t="str">
        <f t="shared" si="57"/>
        <v/>
      </c>
      <c r="B248" s="137" t="str">
        <f t="shared" si="58"/>
        <v/>
      </c>
      <c r="C248" s="135" t="str">
        <f t="shared" si="59"/>
        <v/>
      </c>
      <c r="D248" s="113"/>
      <c r="E248" s="92"/>
      <c r="F248" s="92"/>
      <c r="G248" s="92"/>
      <c r="H248" s="113"/>
      <c r="I248" s="80"/>
      <c r="J248" s="80"/>
      <c r="K248" s="83"/>
      <c r="L248" s="82"/>
      <c r="M248" s="113"/>
      <c r="N248" s="146"/>
      <c r="O248" s="113"/>
      <c r="P248" s="147"/>
      <c r="Q248" s="23"/>
      <c r="R248" s="23"/>
      <c r="S248" s="8">
        <f t="shared" si="61"/>
        <v>138</v>
      </c>
      <c r="U248" s="8">
        <f t="shared" si="60"/>
        <v>0</v>
      </c>
    </row>
    <row r="249" spans="1:21" ht="15.75" hidden="1" customHeight="1">
      <c r="A249" s="136" t="str">
        <f t="shared" si="57"/>
        <v/>
      </c>
      <c r="B249" s="137" t="str">
        <f t="shared" si="58"/>
        <v/>
      </c>
      <c r="C249" s="135" t="str">
        <f t="shared" si="59"/>
        <v/>
      </c>
      <c r="D249" s="113"/>
      <c r="E249" s="92"/>
      <c r="F249" s="92"/>
      <c r="G249" s="92"/>
      <c r="H249" s="113"/>
      <c r="I249" s="80"/>
      <c r="J249" s="80"/>
      <c r="K249" s="83"/>
      <c r="L249" s="82"/>
      <c r="M249" s="113"/>
      <c r="N249" s="146"/>
      <c r="O249" s="113"/>
      <c r="P249" s="147"/>
      <c r="Q249" s="23"/>
      <c r="R249" s="23"/>
      <c r="S249" s="8">
        <f t="shared" si="61"/>
        <v>139</v>
      </c>
      <c r="U249" s="8">
        <f t="shared" si="60"/>
        <v>0</v>
      </c>
    </row>
    <row r="250" spans="1:21" ht="15.75" hidden="1" customHeight="1">
      <c r="A250" s="136" t="str">
        <f t="shared" si="57"/>
        <v/>
      </c>
      <c r="B250" s="137" t="str">
        <f t="shared" si="58"/>
        <v/>
      </c>
      <c r="C250" s="135" t="str">
        <f t="shared" si="59"/>
        <v/>
      </c>
      <c r="D250" s="113"/>
      <c r="E250" s="92"/>
      <c r="F250" s="92"/>
      <c r="G250" s="92"/>
      <c r="H250" s="113"/>
      <c r="I250" s="80"/>
      <c r="J250" s="80"/>
      <c r="K250" s="83"/>
      <c r="L250" s="82"/>
      <c r="M250" s="113"/>
      <c r="N250" s="146"/>
      <c r="O250" s="113"/>
      <c r="P250" s="147"/>
      <c r="Q250" s="23"/>
      <c r="R250" s="23"/>
      <c r="S250" s="8">
        <f t="shared" si="61"/>
        <v>140</v>
      </c>
      <c r="U250" s="8">
        <f t="shared" si="60"/>
        <v>0</v>
      </c>
    </row>
    <row r="251" spans="1:21" ht="15.75" hidden="1" customHeight="1">
      <c r="A251" s="136" t="str">
        <f t="shared" si="57"/>
        <v/>
      </c>
      <c r="B251" s="137" t="str">
        <f t="shared" si="58"/>
        <v/>
      </c>
      <c r="C251" s="135" t="str">
        <f t="shared" si="59"/>
        <v/>
      </c>
      <c r="D251" s="113"/>
      <c r="E251" s="92"/>
      <c r="F251" s="92"/>
      <c r="G251" s="92"/>
      <c r="H251" s="113"/>
      <c r="I251" s="80"/>
      <c r="J251" s="80"/>
      <c r="K251" s="83"/>
      <c r="L251" s="82"/>
      <c r="M251" s="113"/>
      <c r="N251" s="146"/>
      <c r="O251" s="113"/>
      <c r="P251" s="147"/>
      <c r="Q251" s="23"/>
      <c r="R251" s="23"/>
      <c r="S251" s="8">
        <f t="shared" si="61"/>
        <v>141</v>
      </c>
      <c r="U251" s="8">
        <f t="shared" si="60"/>
        <v>0</v>
      </c>
    </row>
    <row r="252" spans="1:21" ht="15.75" hidden="1" customHeight="1">
      <c r="A252" s="136" t="str">
        <f t="shared" si="57"/>
        <v/>
      </c>
      <c r="B252" s="137" t="str">
        <f t="shared" si="58"/>
        <v/>
      </c>
      <c r="C252" s="135" t="str">
        <f t="shared" si="59"/>
        <v/>
      </c>
      <c r="D252" s="113"/>
      <c r="E252" s="92"/>
      <c r="F252" s="92"/>
      <c r="G252" s="92"/>
      <c r="H252" s="113"/>
      <c r="I252" s="80"/>
      <c r="J252" s="80"/>
      <c r="K252" s="83"/>
      <c r="L252" s="82"/>
      <c r="M252" s="113"/>
      <c r="N252" s="146"/>
      <c r="O252" s="113"/>
      <c r="P252" s="147"/>
      <c r="Q252" s="23"/>
      <c r="R252" s="23"/>
      <c r="S252" s="8">
        <f t="shared" si="61"/>
        <v>142</v>
      </c>
      <c r="U252" s="8">
        <f t="shared" si="60"/>
        <v>0</v>
      </c>
    </row>
    <row r="253" spans="1:21" ht="15.75" hidden="1" customHeight="1">
      <c r="A253" s="136" t="str">
        <f t="shared" si="57"/>
        <v/>
      </c>
      <c r="B253" s="137" t="str">
        <f t="shared" si="58"/>
        <v/>
      </c>
      <c r="C253" s="135" t="str">
        <f t="shared" si="59"/>
        <v/>
      </c>
      <c r="D253" s="113"/>
      <c r="E253" s="92"/>
      <c r="F253" s="92"/>
      <c r="G253" s="92"/>
      <c r="H253" s="113"/>
      <c r="I253" s="80"/>
      <c r="J253" s="80"/>
      <c r="K253" s="83"/>
      <c r="L253" s="82"/>
      <c r="M253" s="113"/>
      <c r="N253" s="146"/>
      <c r="O253" s="113"/>
      <c r="P253" s="147"/>
      <c r="Q253" s="23"/>
      <c r="R253" s="23"/>
      <c r="S253" s="8">
        <f t="shared" si="61"/>
        <v>143</v>
      </c>
      <c r="U253" s="8">
        <f t="shared" si="60"/>
        <v>0</v>
      </c>
    </row>
    <row r="254" spans="1:21" ht="15.75" hidden="1" customHeight="1">
      <c r="A254" s="136" t="str">
        <f t="shared" si="57"/>
        <v/>
      </c>
      <c r="B254" s="137" t="str">
        <f t="shared" si="58"/>
        <v/>
      </c>
      <c r="C254" s="135" t="str">
        <f t="shared" si="59"/>
        <v/>
      </c>
      <c r="D254" s="113"/>
      <c r="E254" s="92"/>
      <c r="F254" s="92"/>
      <c r="G254" s="92"/>
      <c r="H254" s="113"/>
      <c r="I254" s="80"/>
      <c r="J254" s="80"/>
      <c r="K254" s="83"/>
      <c r="L254" s="82"/>
      <c r="M254" s="113"/>
      <c r="N254" s="146"/>
      <c r="O254" s="113"/>
      <c r="P254" s="147"/>
      <c r="Q254" s="23"/>
      <c r="R254" s="23"/>
      <c r="S254" s="8">
        <f t="shared" si="61"/>
        <v>144</v>
      </c>
      <c r="U254" s="8">
        <f t="shared" si="60"/>
        <v>0</v>
      </c>
    </row>
    <row r="255" spans="1:21" ht="15.75" hidden="1" customHeight="1">
      <c r="A255" s="136" t="str">
        <f t="shared" si="57"/>
        <v/>
      </c>
      <c r="B255" s="137" t="str">
        <f t="shared" si="58"/>
        <v/>
      </c>
      <c r="C255" s="135" t="str">
        <f t="shared" si="59"/>
        <v/>
      </c>
      <c r="D255" s="113"/>
      <c r="E255" s="92"/>
      <c r="F255" s="92"/>
      <c r="G255" s="92"/>
      <c r="H255" s="113"/>
      <c r="I255" s="80"/>
      <c r="J255" s="80"/>
      <c r="K255" s="83"/>
      <c r="L255" s="82"/>
      <c r="M255" s="113"/>
      <c r="N255" s="146"/>
      <c r="O255" s="113"/>
      <c r="P255" s="147"/>
      <c r="Q255" s="23"/>
      <c r="R255" s="23"/>
      <c r="S255" s="8">
        <f t="shared" si="61"/>
        <v>145</v>
      </c>
      <c r="U255" s="8">
        <f t="shared" si="60"/>
        <v>0</v>
      </c>
    </row>
    <row r="256" spans="1:21" ht="15.75" hidden="1" customHeight="1">
      <c r="A256" s="136" t="str">
        <f t="shared" si="57"/>
        <v/>
      </c>
      <c r="B256" s="137" t="str">
        <f t="shared" si="58"/>
        <v/>
      </c>
      <c r="C256" s="135" t="str">
        <f t="shared" si="59"/>
        <v/>
      </c>
      <c r="D256" s="113"/>
      <c r="E256" s="92"/>
      <c r="F256" s="92"/>
      <c r="G256" s="92"/>
      <c r="H256" s="113"/>
      <c r="I256" s="80"/>
      <c r="J256" s="80"/>
      <c r="K256" s="83"/>
      <c r="L256" s="82"/>
      <c r="M256" s="113"/>
      <c r="N256" s="146"/>
      <c r="O256" s="113"/>
      <c r="P256" s="147"/>
      <c r="Q256" s="23"/>
      <c r="R256" s="23"/>
      <c r="S256" s="8">
        <f t="shared" si="61"/>
        <v>146</v>
      </c>
      <c r="U256" s="8">
        <f t="shared" si="60"/>
        <v>0</v>
      </c>
    </row>
    <row r="257" spans="1:21" ht="15.75" hidden="1" customHeight="1">
      <c r="A257" s="136" t="str">
        <f t="shared" si="57"/>
        <v/>
      </c>
      <c r="B257" s="137" t="str">
        <f t="shared" si="58"/>
        <v/>
      </c>
      <c r="C257" s="135" t="str">
        <f t="shared" si="59"/>
        <v/>
      </c>
      <c r="D257" s="113"/>
      <c r="E257" s="92"/>
      <c r="F257" s="92"/>
      <c r="G257" s="92"/>
      <c r="H257" s="113"/>
      <c r="I257" s="80"/>
      <c r="J257" s="80"/>
      <c r="K257" s="83"/>
      <c r="L257" s="82"/>
      <c r="M257" s="113"/>
      <c r="N257" s="146"/>
      <c r="O257" s="113"/>
      <c r="P257" s="147"/>
      <c r="Q257" s="23"/>
      <c r="R257" s="23"/>
      <c r="S257" s="8">
        <f t="shared" si="61"/>
        <v>147</v>
      </c>
      <c r="U257" s="8">
        <f t="shared" si="60"/>
        <v>0</v>
      </c>
    </row>
    <row r="258" spans="1:21" ht="15.75" hidden="1" customHeight="1">
      <c r="A258" s="136" t="str">
        <f t="shared" si="57"/>
        <v/>
      </c>
      <c r="B258" s="137" t="str">
        <f t="shared" si="58"/>
        <v/>
      </c>
      <c r="C258" s="135" t="str">
        <f t="shared" si="59"/>
        <v/>
      </c>
      <c r="D258" s="113"/>
      <c r="E258" s="92"/>
      <c r="F258" s="92"/>
      <c r="G258" s="92"/>
      <c r="H258" s="113"/>
      <c r="I258" s="80"/>
      <c r="J258" s="80"/>
      <c r="K258" s="83"/>
      <c r="L258" s="82"/>
      <c r="M258" s="113"/>
      <c r="N258" s="146"/>
      <c r="O258" s="113"/>
      <c r="P258" s="147"/>
      <c r="Q258" s="23"/>
      <c r="R258" s="23"/>
      <c r="S258" s="8">
        <f t="shared" si="61"/>
        <v>148</v>
      </c>
      <c r="U258" s="8">
        <f t="shared" si="60"/>
        <v>0</v>
      </c>
    </row>
    <row r="259" spans="1:21" ht="15.75" hidden="1" customHeight="1">
      <c r="A259" s="136" t="str">
        <f t="shared" si="57"/>
        <v/>
      </c>
      <c r="B259" s="137" t="str">
        <f t="shared" si="58"/>
        <v/>
      </c>
      <c r="C259" s="135" t="str">
        <f t="shared" si="59"/>
        <v/>
      </c>
      <c r="D259" s="113"/>
      <c r="E259" s="92"/>
      <c r="F259" s="92"/>
      <c r="G259" s="92"/>
      <c r="H259" s="113"/>
      <c r="I259" s="80"/>
      <c r="J259" s="80"/>
      <c r="K259" s="83"/>
      <c r="L259" s="82"/>
      <c r="M259" s="113"/>
      <c r="N259" s="146"/>
      <c r="O259" s="113"/>
      <c r="P259" s="147"/>
      <c r="Q259" s="23"/>
      <c r="R259" s="23"/>
      <c r="S259" s="8">
        <f t="shared" si="61"/>
        <v>149</v>
      </c>
      <c r="U259" s="8">
        <f t="shared" si="60"/>
        <v>0</v>
      </c>
    </row>
    <row r="260" spans="1:21" ht="15.75" hidden="1" customHeight="1">
      <c r="A260" s="136" t="str">
        <f t="shared" si="57"/>
        <v/>
      </c>
      <c r="B260" s="137" t="str">
        <f t="shared" si="58"/>
        <v/>
      </c>
      <c r="C260" s="135" t="str">
        <f t="shared" si="59"/>
        <v/>
      </c>
      <c r="D260" s="113"/>
      <c r="E260" s="92"/>
      <c r="F260" s="92"/>
      <c r="G260" s="92"/>
      <c r="H260" s="113"/>
      <c r="I260" s="80"/>
      <c r="J260" s="80"/>
      <c r="K260" s="83"/>
      <c r="L260" s="82"/>
      <c r="M260" s="113"/>
      <c r="N260" s="146"/>
      <c r="O260" s="113"/>
      <c r="P260" s="147"/>
      <c r="Q260" s="23"/>
      <c r="R260" s="23"/>
      <c r="S260" s="8">
        <f t="shared" si="61"/>
        <v>150</v>
      </c>
      <c r="U260" s="8">
        <f t="shared" si="60"/>
        <v>0</v>
      </c>
    </row>
    <row r="261" spans="1:21" ht="15.75" hidden="1" customHeight="1">
      <c r="A261" s="136" t="str">
        <f t="shared" si="57"/>
        <v/>
      </c>
      <c r="B261" s="137" t="str">
        <f t="shared" si="58"/>
        <v/>
      </c>
      <c r="C261" s="135" t="str">
        <f t="shared" si="59"/>
        <v/>
      </c>
      <c r="D261" s="113"/>
      <c r="E261" s="92"/>
      <c r="F261" s="92"/>
      <c r="G261" s="92"/>
      <c r="H261" s="113"/>
      <c r="I261" s="80"/>
      <c r="J261" s="80"/>
      <c r="K261" s="83"/>
      <c r="L261" s="82"/>
      <c r="M261" s="113"/>
      <c r="N261" s="146"/>
      <c r="O261" s="113"/>
      <c r="P261" s="147"/>
      <c r="Q261" s="23"/>
      <c r="R261" s="23"/>
      <c r="S261" s="8">
        <f t="shared" si="61"/>
        <v>151</v>
      </c>
      <c r="U261" s="8">
        <f t="shared" ref="U261:U324" si="62">IF(LEN(INDEX(ChangeData,S261,1))&gt;0,1,0)</f>
        <v>0</v>
      </c>
    </row>
    <row r="262" spans="1:21" ht="15.75" hidden="1" customHeight="1">
      <c r="A262" s="136" t="str">
        <f t="shared" si="57"/>
        <v/>
      </c>
      <c r="B262" s="137" t="str">
        <f t="shared" si="58"/>
        <v/>
      </c>
      <c r="C262" s="135" t="str">
        <f t="shared" si="59"/>
        <v/>
      </c>
      <c r="D262" s="113"/>
      <c r="E262" s="92"/>
      <c r="F262" s="92"/>
      <c r="G262" s="92"/>
      <c r="H262" s="113"/>
      <c r="I262" s="80"/>
      <c r="J262" s="80"/>
      <c r="K262" s="83"/>
      <c r="L262" s="82"/>
      <c r="M262" s="113"/>
      <c r="N262" s="146"/>
      <c r="O262" s="113"/>
      <c r="P262" s="147"/>
      <c r="Q262" s="23"/>
      <c r="R262" s="23"/>
      <c r="S262" s="8">
        <f t="shared" si="61"/>
        <v>152</v>
      </c>
      <c r="U262" s="8">
        <f t="shared" si="62"/>
        <v>0</v>
      </c>
    </row>
    <row r="263" spans="1:21" ht="15.75" hidden="1" customHeight="1">
      <c r="A263" s="136" t="str">
        <f t="shared" si="57"/>
        <v/>
      </c>
      <c r="B263" s="137" t="str">
        <f t="shared" si="58"/>
        <v/>
      </c>
      <c r="C263" s="135" t="str">
        <f t="shared" si="59"/>
        <v/>
      </c>
      <c r="D263" s="113"/>
      <c r="E263" s="92"/>
      <c r="F263" s="92"/>
      <c r="G263" s="92"/>
      <c r="H263" s="113"/>
      <c r="I263" s="80"/>
      <c r="J263" s="80"/>
      <c r="K263" s="83"/>
      <c r="L263" s="82"/>
      <c r="M263" s="113"/>
      <c r="N263" s="146"/>
      <c r="O263" s="113"/>
      <c r="P263" s="147"/>
      <c r="Q263" s="23"/>
      <c r="R263" s="23"/>
      <c r="S263" s="8">
        <f t="shared" si="61"/>
        <v>153</v>
      </c>
      <c r="U263" s="8">
        <f t="shared" si="62"/>
        <v>0</v>
      </c>
    </row>
    <row r="264" spans="1:21" ht="15.75" hidden="1" customHeight="1">
      <c r="A264" s="136" t="str">
        <f t="shared" si="57"/>
        <v/>
      </c>
      <c r="B264" s="137" t="str">
        <f t="shared" si="58"/>
        <v/>
      </c>
      <c r="C264" s="135" t="str">
        <f t="shared" si="59"/>
        <v/>
      </c>
      <c r="D264" s="113"/>
      <c r="E264" s="92"/>
      <c r="F264" s="92"/>
      <c r="G264" s="92"/>
      <c r="H264" s="113"/>
      <c r="I264" s="80"/>
      <c r="J264" s="80"/>
      <c r="K264" s="83"/>
      <c r="L264" s="82"/>
      <c r="M264" s="113"/>
      <c r="N264" s="146"/>
      <c r="O264" s="113"/>
      <c r="P264" s="147"/>
      <c r="Q264" s="23"/>
      <c r="R264" s="23"/>
      <c r="S264" s="8">
        <f t="shared" si="61"/>
        <v>154</v>
      </c>
      <c r="U264" s="8">
        <f t="shared" si="62"/>
        <v>0</v>
      </c>
    </row>
    <row r="265" spans="1:21" ht="15.75" hidden="1" customHeight="1">
      <c r="A265" s="136" t="str">
        <f t="shared" si="57"/>
        <v/>
      </c>
      <c r="B265" s="137" t="str">
        <f t="shared" si="58"/>
        <v/>
      </c>
      <c r="C265" s="135" t="str">
        <f t="shared" si="59"/>
        <v/>
      </c>
      <c r="D265" s="113"/>
      <c r="E265" s="92"/>
      <c r="F265" s="92"/>
      <c r="G265" s="92"/>
      <c r="H265" s="113"/>
      <c r="I265" s="80"/>
      <c r="J265" s="80"/>
      <c r="K265" s="83"/>
      <c r="L265" s="82"/>
      <c r="M265" s="113"/>
      <c r="N265" s="146"/>
      <c r="O265" s="113"/>
      <c r="P265" s="147"/>
      <c r="Q265" s="23"/>
      <c r="R265" s="23"/>
      <c r="S265" s="8">
        <f t="shared" si="61"/>
        <v>155</v>
      </c>
      <c r="U265" s="8">
        <f t="shared" si="62"/>
        <v>0</v>
      </c>
    </row>
    <row r="266" spans="1:21" ht="15.75" hidden="1" customHeight="1">
      <c r="A266" s="136" t="str">
        <f t="shared" si="57"/>
        <v/>
      </c>
      <c r="B266" s="137" t="str">
        <f t="shared" si="58"/>
        <v/>
      </c>
      <c r="C266" s="135" t="str">
        <f t="shared" si="59"/>
        <v/>
      </c>
      <c r="D266" s="113"/>
      <c r="E266" s="92"/>
      <c r="F266" s="92"/>
      <c r="G266" s="92"/>
      <c r="H266" s="113"/>
      <c r="I266" s="80"/>
      <c r="J266" s="80"/>
      <c r="K266" s="83"/>
      <c r="L266" s="82"/>
      <c r="M266" s="113"/>
      <c r="N266" s="146"/>
      <c r="O266" s="113"/>
      <c r="P266" s="147"/>
      <c r="Q266" s="23"/>
      <c r="R266" s="23"/>
      <c r="S266" s="8">
        <f t="shared" si="61"/>
        <v>156</v>
      </c>
      <c r="U266" s="8">
        <f t="shared" si="62"/>
        <v>0</v>
      </c>
    </row>
    <row r="267" spans="1:21" ht="15.75" hidden="1" customHeight="1">
      <c r="A267" s="136" t="str">
        <f t="shared" si="57"/>
        <v/>
      </c>
      <c r="B267" s="137" t="str">
        <f t="shared" si="58"/>
        <v/>
      </c>
      <c r="C267" s="135" t="str">
        <f t="shared" si="59"/>
        <v/>
      </c>
      <c r="D267" s="113"/>
      <c r="E267" s="92"/>
      <c r="F267" s="92"/>
      <c r="G267" s="92"/>
      <c r="H267" s="113"/>
      <c r="I267" s="80"/>
      <c r="J267" s="80"/>
      <c r="K267" s="83"/>
      <c r="L267" s="82"/>
      <c r="M267" s="113"/>
      <c r="N267" s="146"/>
      <c r="O267" s="113"/>
      <c r="P267" s="147"/>
      <c r="Q267" s="23"/>
      <c r="R267" s="23"/>
      <c r="S267" s="8">
        <f t="shared" si="61"/>
        <v>157</v>
      </c>
      <c r="U267" s="8">
        <f t="shared" si="62"/>
        <v>0</v>
      </c>
    </row>
    <row r="268" spans="1:21" ht="15.75" hidden="1" customHeight="1">
      <c r="A268" s="136" t="str">
        <f t="shared" si="57"/>
        <v/>
      </c>
      <c r="B268" s="137" t="str">
        <f t="shared" si="58"/>
        <v/>
      </c>
      <c r="C268" s="135" t="str">
        <f t="shared" si="59"/>
        <v/>
      </c>
      <c r="D268" s="113"/>
      <c r="E268" s="92"/>
      <c r="F268" s="92"/>
      <c r="G268" s="92"/>
      <c r="H268" s="113"/>
      <c r="I268" s="80"/>
      <c r="J268" s="80"/>
      <c r="K268" s="83"/>
      <c r="L268" s="82"/>
      <c r="M268" s="113"/>
      <c r="N268" s="146"/>
      <c r="O268" s="113"/>
      <c r="P268" s="147"/>
      <c r="Q268" s="23"/>
      <c r="R268" s="23"/>
      <c r="S268" s="8">
        <f t="shared" si="61"/>
        <v>158</v>
      </c>
      <c r="U268" s="8">
        <f t="shared" si="62"/>
        <v>0</v>
      </c>
    </row>
    <row r="269" spans="1:21" ht="15.75" hidden="1" customHeight="1">
      <c r="A269" s="136" t="str">
        <f t="shared" si="57"/>
        <v/>
      </c>
      <c r="B269" s="137" t="str">
        <f t="shared" si="58"/>
        <v/>
      </c>
      <c r="C269" s="135" t="str">
        <f t="shared" si="59"/>
        <v/>
      </c>
      <c r="D269" s="113"/>
      <c r="E269" s="92"/>
      <c r="F269" s="92"/>
      <c r="G269" s="92"/>
      <c r="H269" s="113"/>
      <c r="I269" s="80"/>
      <c r="J269" s="80"/>
      <c r="K269" s="83"/>
      <c r="L269" s="82"/>
      <c r="M269" s="113"/>
      <c r="N269" s="146"/>
      <c r="O269" s="113"/>
      <c r="P269" s="147"/>
      <c r="Q269" s="23"/>
      <c r="R269" s="23"/>
      <c r="S269" s="8">
        <f t="shared" si="61"/>
        <v>159</v>
      </c>
      <c r="U269" s="8">
        <f t="shared" si="62"/>
        <v>0</v>
      </c>
    </row>
    <row r="270" spans="1:21" ht="15.75" hidden="1" customHeight="1">
      <c r="A270" s="136" t="str">
        <f t="shared" si="57"/>
        <v/>
      </c>
      <c r="B270" s="137" t="str">
        <f t="shared" si="58"/>
        <v/>
      </c>
      <c r="C270" s="135" t="str">
        <f t="shared" si="59"/>
        <v/>
      </c>
      <c r="D270" s="113"/>
      <c r="E270" s="92"/>
      <c r="F270" s="92"/>
      <c r="G270" s="92"/>
      <c r="H270" s="113"/>
      <c r="I270" s="80"/>
      <c r="J270" s="80"/>
      <c r="K270" s="83"/>
      <c r="L270" s="82"/>
      <c r="M270" s="113"/>
      <c r="N270" s="146"/>
      <c r="O270" s="113"/>
      <c r="P270" s="147"/>
      <c r="Q270" s="23"/>
      <c r="R270" s="23"/>
      <c r="S270" s="8">
        <f t="shared" si="61"/>
        <v>160</v>
      </c>
      <c r="U270" s="8">
        <f t="shared" si="62"/>
        <v>0</v>
      </c>
    </row>
    <row r="271" spans="1:21" ht="15.75" hidden="1" customHeight="1">
      <c r="A271" s="136" t="str">
        <f t="shared" si="57"/>
        <v/>
      </c>
      <c r="B271" s="137" t="str">
        <f t="shared" si="58"/>
        <v/>
      </c>
      <c r="C271" s="135" t="str">
        <f t="shared" si="59"/>
        <v/>
      </c>
      <c r="D271" s="113"/>
      <c r="E271" s="92"/>
      <c r="F271" s="92"/>
      <c r="G271" s="92"/>
      <c r="H271" s="113"/>
      <c r="I271" s="80"/>
      <c r="J271" s="80"/>
      <c r="K271" s="83"/>
      <c r="L271" s="82"/>
      <c r="M271" s="113"/>
      <c r="N271" s="146"/>
      <c r="O271" s="113"/>
      <c r="P271" s="147"/>
      <c r="Q271" s="23"/>
      <c r="R271" s="23"/>
      <c r="S271" s="8">
        <f t="shared" si="61"/>
        <v>161</v>
      </c>
      <c r="U271" s="8">
        <f t="shared" si="62"/>
        <v>0</v>
      </c>
    </row>
    <row r="272" spans="1:21" ht="15.75" hidden="1" customHeight="1">
      <c r="A272" s="136" t="str">
        <f t="shared" si="57"/>
        <v/>
      </c>
      <c r="B272" s="137" t="str">
        <f t="shared" si="58"/>
        <v/>
      </c>
      <c r="C272" s="135" t="str">
        <f t="shared" si="59"/>
        <v/>
      </c>
      <c r="D272" s="113"/>
      <c r="E272" s="92"/>
      <c r="F272" s="92"/>
      <c r="G272" s="92"/>
      <c r="H272" s="113"/>
      <c r="I272" s="80"/>
      <c r="J272" s="80"/>
      <c r="K272" s="83"/>
      <c r="L272" s="82"/>
      <c r="M272" s="113"/>
      <c r="N272" s="146"/>
      <c r="O272" s="113"/>
      <c r="P272" s="147"/>
      <c r="Q272" s="23"/>
      <c r="R272" s="23"/>
      <c r="S272" s="8">
        <f t="shared" si="61"/>
        <v>162</v>
      </c>
      <c r="U272" s="8">
        <f t="shared" si="62"/>
        <v>0</v>
      </c>
    </row>
    <row r="273" spans="1:21" ht="15.75" hidden="1" customHeight="1">
      <c r="A273" s="136" t="str">
        <f t="shared" si="57"/>
        <v/>
      </c>
      <c r="B273" s="137" t="str">
        <f t="shared" si="58"/>
        <v/>
      </c>
      <c r="C273" s="135" t="str">
        <f t="shared" si="59"/>
        <v/>
      </c>
      <c r="D273" s="113"/>
      <c r="E273" s="92"/>
      <c r="F273" s="92"/>
      <c r="G273" s="92"/>
      <c r="H273" s="113"/>
      <c r="I273" s="80"/>
      <c r="J273" s="80"/>
      <c r="K273" s="83"/>
      <c r="L273" s="82"/>
      <c r="M273" s="113"/>
      <c r="N273" s="146"/>
      <c r="O273" s="113"/>
      <c r="P273" s="147"/>
      <c r="Q273" s="23"/>
      <c r="R273" s="23"/>
      <c r="S273" s="8">
        <f t="shared" si="61"/>
        <v>163</v>
      </c>
      <c r="U273" s="8">
        <f t="shared" si="62"/>
        <v>0</v>
      </c>
    </row>
    <row r="274" spans="1:21" ht="15.75" hidden="1" customHeight="1">
      <c r="A274" s="136" t="str">
        <f t="shared" si="57"/>
        <v/>
      </c>
      <c r="B274" s="137" t="str">
        <f t="shared" si="58"/>
        <v/>
      </c>
      <c r="C274" s="135" t="str">
        <f t="shared" si="59"/>
        <v/>
      </c>
      <c r="D274" s="113"/>
      <c r="E274" s="92"/>
      <c r="F274" s="92"/>
      <c r="G274" s="92"/>
      <c r="H274" s="113"/>
      <c r="I274" s="80"/>
      <c r="J274" s="80"/>
      <c r="K274" s="83"/>
      <c r="L274" s="82"/>
      <c r="M274" s="113"/>
      <c r="N274" s="146"/>
      <c r="O274" s="113"/>
      <c r="P274" s="147"/>
      <c r="Q274" s="23"/>
      <c r="R274" s="23"/>
      <c r="S274" s="8">
        <f t="shared" si="61"/>
        <v>164</v>
      </c>
      <c r="U274" s="8">
        <f t="shared" si="62"/>
        <v>0</v>
      </c>
    </row>
    <row r="275" spans="1:21" ht="15.75" hidden="1" customHeight="1">
      <c r="A275" s="136" t="str">
        <f t="shared" si="57"/>
        <v/>
      </c>
      <c r="B275" s="137" t="str">
        <f t="shared" si="58"/>
        <v/>
      </c>
      <c r="C275" s="135" t="str">
        <f t="shared" si="59"/>
        <v/>
      </c>
      <c r="D275" s="113"/>
      <c r="E275" s="92"/>
      <c r="F275" s="92"/>
      <c r="G275" s="92"/>
      <c r="H275" s="113"/>
      <c r="I275" s="80"/>
      <c r="J275" s="80"/>
      <c r="K275" s="83"/>
      <c r="L275" s="82"/>
      <c r="M275" s="113"/>
      <c r="N275" s="146"/>
      <c r="O275" s="113"/>
      <c r="P275" s="147"/>
      <c r="Q275" s="23"/>
      <c r="R275" s="23"/>
      <c r="S275" s="8">
        <f t="shared" si="61"/>
        <v>165</v>
      </c>
      <c r="U275" s="8">
        <f t="shared" si="62"/>
        <v>0</v>
      </c>
    </row>
    <row r="276" spans="1:21" ht="15.75" hidden="1" customHeight="1">
      <c r="A276" s="136" t="str">
        <f t="shared" si="57"/>
        <v/>
      </c>
      <c r="B276" s="137" t="str">
        <f t="shared" si="58"/>
        <v/>
      </c>
      <c r="C276" s="135" t="str">
        <f t="shared" si="59"/>
        <v/>
      </c>
      <c r="D276" s="113"/>
      <c r="E276" s="92"/>
      <c r="F276" s="92"/>
      <c r="G276" s="92"/>
      <c r="H276" s="113"/>
      <c r="I276" s="80"/>
      <c r="J276" s="80"/>
      <c r="K276" s="83"/>
      <c r="L276" s="82"/>
      <c r="M276" s="113"/>
      <c r="N276" s="146"/>
      <c r="O276" s="113"/>
      <c r="P276" s="147"/>
      <c r="Q276" s="23"/>
      <c r="R276" s="23"/>
      <c r="S276" s="8">
        <f t="shared" si="61"/>
        <v>166</v>
      </c>
      <c r="U276" s="8">
        <f t="shared" si="62"/>
        <v>0</v>
      </c>
    </row>
    <row r="277" spans="1:21" ht="15.75" hidden="1" customHeight="1">
      <c r="A277" s="136" t="str">
        <f t="shared" si="57"/>
        <v/>
      </c>
      <c r="B277" s="137" t="str">
        <f t="shared" si="58"/>
        <v/>
      </c>
      <c r="C277" s="135" t="str">
        <f t="shared" si="59"/>
        <v/>
      </c>
      <c r="D277" s="113"/>
      <c r="E277" s="92"/>
      <c r="F277" s="92"/>
      <c r="G277" s="92"/>
      <c r="H277" s="113"/>
      <c r="I277" s="80"/>
      <c r="J277" s="80"/>
      <c r="K277" s="83"/>
      <c r="L277" s="82"/>
      <c r="M277" s="113"/>
      <c r="N277" s="146"/>
      <c r="O277" s="113"/>
      <c r="P277" s="147"/>
      <c r="Q277" s="23"/>
      <c r="R277" s="23"/>
      <c r="S277" s="8">
        <f t="shared" si="61"/>
        <v>167</v>
      </c>
      <c r="U277" s="8">
        <f t="shared" si="62"/>
        <v>0</v>
      </c>
    </row>
    <row r="278" spans="1:21" ht="15.75" hidden="1" customHeight="1">
      <c r="A278" s="136" t="str">
        <f t="shared" si="57"/>
        <v/>
      </c>
      <c r="B278" s="137" t="str">
        <f t="shared" si="58"/>
        <v/>
      </c>
      <c r="C278" s="135" t="str">
        <f t="shared" si="59"/>
        <v/>
      </c>
      <c r="D278" s="113"/>
      <c r="E278" s="92"/>
      <c r="F278" s="92"/>
      <c r="G278" s="92"/>
      <c r="H278" s="113"/>
      <c r="I278" s="80"/>
      <c r="J278" s="80"/>
      <c r="K278" s="83"/>
      <c r="L278" s="82"/>
      <c r="M278" s="113"/>
      <c r="N278" s="146"/>
      <c r="O278" s="113"/>
      <c r="P278" s="147"/>
      <c r="Q278" s="23"/>
      <c r="R278" s="23"/>
      <c r="S278" s="8">
        <f t="shared" si="61"/>
        <v>168</v>
      </c>
      <c r="U278" s="8">
        <f t="shared" si="62"/>
        <v>0</v>
      </c>
    </row>
    <row r="279" spans="1:21" ht="15.75" hidden="1" customHeight="1">
      <c r="A279" s="136" t="str">
        <f t="shared" si="57"/>
        <v/>
      </c>
      <c r="B279" s="137" t="str">
        <f t="shared" si="58"/>
        <v/>
      </c>
      <c r="C279" s="135" t="str">
        <f t="shared" si="59"/>
        <v/>
      </c>
      <c r="D279" s="113"/>
      <c r="E279" s="92"/>
      <c r="F279" s="92"/>
      <c r="G279" s="92"/>
      <c r="H279" s="113"/>
      <c r="I279" s="80"/>
      <c r="J279" s="80"/>
      <c r="K279" s="83"/>
      <c r="L279" s="82"/>
      <c r="M279" s="113"/>
      <c r="N279" s="146"/>
      <c r="O279" s="113"/>
      <c r="P279" s="147"/>
      <c r="Q279" s="23"/>
      <c r="R279" s="23"/>
      <c r="S279" s="8">
        <f t="shared" si="61"/>
        <v>169</v>
      </c>
      <c r="U279" s="8">
        <f t="shared" si="62"/>
        <v>0</v>
      </c>
    </row>
    <row r="280" spans="1:21" ht="15.75" hidden="1" customHeight="1">
      <c r="A280" s="136" t="str">
        <f t="shared" si="57"/>
        <v/>
      </c>
      <c r="B280" s="137" t="str">
        <f t="shared" si="58"/>
        <v/>
      </c>
      <c r="C280" s="135" t="str">
        <f t="shared" si="59"/>
        <v/>
      </c>
      <c r="D280" s="113"/>
      <c r="E280" s="92"/>
      <c r="F280" s="92"/>
      <c r="G280" s="92"/>
      <c r="H280" s="113"/>
      <c r="I280" s="80"/>
      <c r="J280" s="80"/>
      <c r="K280" s="83"/>
      <c r="L280" s="82"/>
      <c r="M280" s="113"/>
      <c r="N280" s="146"/>
      <c r="O280" s="113"/>
      <c r="P280" s="147"/>
      <c r="Q280" s="23"/>
      <c r="R280" s="23"/>
      <c r="S280" s="8">
        <f t="shared" si="61"/>
        <v>170</v>
      </c>
      <c r="U280" s="8">
        <f t="shared" si="62"/>
        <v>0</v>
      </c>
    </row>
    <row r="281" spans="1:21" ht="15.75" hidden="1" customHeight="1">
      <c r="A281" s="136" t="str">
        <f t="shared" si="57"/>
        <v/>
      </c>
      <c r="B281" s="137" t="str">
        <f t="shared" si="58"/>
        <v/>
      </c>
      <c r="C281" s="135" t="str">
        <f t="shared" si="59"/>
        <v/>
      </c>
      <c r="D281" s="113"/>
      <c r="E281" s="92"/>
      <c r="F281" s="92"/>
      <c r="G281" s="92"/>
      <c r="H281" s="113"/>
      <c r="I281" s="80"/>
      <c r="J281" s="80"/>
      <c r="K281" s="83"/>
      <c r="L281" s="82"/>
      <c r="M281" s="113"/>
      <c r="N281" s="146"/>
      <c r="O281" s="113"/>
      <c r="P281" s="147"/>
      <c r="Q281" s="23"/>
      <c r="R281" s="23"/>
      <c r="S281" s="8">
        <f t="shared" si="61"/>
        <v>171</v>
      </c>
      <c r="U281" s="8">
        <f t="shared" si="62"/>
        <v>0</v>
      </c>
    </row>
    <row r="282" spans="1:21" ht="15.75" hidden="1" customHeight="1">
      <c r="A282" s="136" t="str">
        <f t="shared" si="57"/>
        <v/>
      </c>
      <c r="B282" s="137" t="str">
        <f t="shared" si="58"/>
        <v/>
      </c>
      <c r="C282" s="135" t="str">
        <f t="shared" si="59"/>
        <v/>
      </c>
      <c r="D282" s="113"/>
      <c r="E282" s="92"/>
      <c r="F282" s="92"/>
      <c r="G282" s="92"/>
      <c r="H282" s="113"/>
      <c r="I282" s="80"/>
      <c r="J282" s="80"/>
      <c r="K282" s="83"/>
      <c r="L282" s="82"/>
      <c r="M282" s="113"/>
      <c r="N282" s="146"/>
      <c r="O282" s="113"/>
      <c r="P282" s="147"/>
      <c r="Q282" s="23"/>
      <c r="R282" s="23"/>
      <c r="S282" s="8">
        <f t="shared" si="61"/>
        <v>172</v>
      </c>
      <c r="U282" s="8">
        <f t="shared" si="62"/>
        <v>0</v>
      </c>
    </row>
    <row r="283" spans="1:21" ht="15.75" hidden="1" customHeight="1">
      <c r="A283" s="136" t="str">
        <f t="shared" si="57"/>
        <v/>
      </c>
      <c r="B283" s="137" t="str">
        <f t="shared" si="58"/>
        <v/>
      </c>
      <c r="C283" s="135" t="str">
        <f t="shared" si="59"/>
        <v/>
      </c>
      <c r="D283" s="113"/>
      <c r="E283" s="92"/>
      <c r="F283" s="92"/>
      <c r="G283" s="92"/>
      <c r="H283" s="113"/>
      <c r="I283" s="80"/>
      <c r="J283" s="80"/>
      <c r="K283" s="83"/>
      <c r="L283" s="82"/>
      <c r="M283" s="113"/>
      <c r="N283" s="146"/>
      <c r="O283" s="113"/>
      <c r="P283" s="147"/>
      <c r="Q283" s="23"/>
      <c r="R283" s="23"/>
      <c r="S283" s="8">
        <f t="shared" si="61"/>
        <v>173</v>
      </c>
      <c r="U283" s="8">
        <f t="shared" si="62"/>
        <v>0</v>
      </c>
    </row>
    <row r="284" spans="1:21" ht="15.75" hidden="1" customHeight="1">
      <c r="A284" s="136" t="str">
        <f t="shared" si="57"/>
        <v/>
      </c>
      <c r="B284" s="137" t="str">
        <f t="shared" si="58"/>
        <v/>
      </c>
      <c r="C284" s="135" t="str">
        <f t="shared" si="59"/>
        <v/>
      </c>
      <c r="D284" s="113"/>
      <c r="E284" s="92"/>
      <c r="F284" s="92"/>
      <c r="G284" s="92"/>
      <c r="H284" s="113"/>
      <c r="I284" s="80"/>
      <c r="J284" s="80"/>
      <c r="K284" s="83"/>
      <c r="L284" s="82"/>
      <c r="M284" s="113"/>
      <c r="N284" s="146"/>
      <c r="O284" s="113"/>
      <c r="P284" s="147"/>
      <c r="Q284" s="23"/>
      <c r="R284" s="23"/>
      <c r="S284" s="8">
        <f t="shared" si="61"/>
        <v>174</v>
      </c>
      <c r="U284" s="8">
        <f t="shared" si="62"/>
        <v>0</v>
      </c>
    </row>
    <row r="285" spans="1:21" ht="15.75" hidden="1" customHeight="1">
      <c r="A285" s="136" t="str">
        <f t="shared" si="57"/>
        <v/>
      </c>
      <c r="B285" s="137" t="str">
        <f t="shared" si="58"/>
        <v/>
      </c>
      <c r="C285" s="135" t="str">
        <f t="shared" si="59"/>
        <v/>
      </c>
      <c r="D285" s="113"/>
      <c r="E285" s="92"/>
      <c r="F285" s="92"/>
      <c r="G285" s="92"/>
      <c r="H285" s="113"/>
      <c r="I285" s="80"/>
      <c r="J285" s="80"/>
      <c r="K285" s="83"/>
      <c r="L285" s="82"/>
      <c r="M285" s="113"/>
      <c r="N285" s="146"/>
      <c r="O285" s="113"/>
      <c r="P285" s="147"/>
      <c r="Q285" s="23"/>
      <c r="R285" s="23"/>
      <c r="S285" s="8">
        <f t="shared" si="61"/>
        <v>175</v>
      </c>
      <c r="U285" s="8">
        <f t="shared" si="62"/>
        <v>0</v>
      </c>
    </row>
    <row r="286" spans="1:21" ht="15.75" hidden="1" customHeight="1">
      <c r="A286" s="136" t="str">
        <f t="shared" si="57"/>
        <v/>
      </c>
      <c r="B286" s="137" t="str">
        <f t="shared" si="58"/>
        <v/>
      </c>
      <c r="C286" s="135" t="str">
        <f t="shared" si="59"/>
        <v/>
      </c>
      <c r="D286" s="113"/>
      <c r="E286" s="92"/>
      <c r="F286" s="92"/>
      <c r="G286" s="92"/>
      <c r="H286" s="113"/>
      <c r="I286" s="80"/>
      <c r="J286" s="80"/>
      <c r="K286" s="83"/>
      <c r="L286" s="82"/>
      <c r="M286" s="113"/>
      <c r="N286" s="146"/>
      <c r="O286" s="113"/>
      <c r="P286" s="147"/>
      <c r="Q286" s="23"/>
      <c r="R286" s="23"/>
      <c r="S286" s="8">
        <f t="shared" si="61"/>
        <v>176</v>
      </c>
      <c r="U286" s="8">
        <f t="shared" si="62"/>
        <v>0</v>
      </c>
    </row>
    <row r="287" spans="1:21" ht="15.75" hidden="1" customHeight="1">
      <c r="A287" s="136" t="str">
        <f t="shared" si="57"/>
        <v/>
      </c>
      <c r="B287" s="137" t="str">
        <f t="shared" si="58"/>
        <v/>
      </c>
      <c r="C287" s="135" t="str">
        <f t="shared" si="59"/>
        <v/>
      </c>
      <c r="D287" s="113"/>
      <c r="E287" s="92"/>
      <c r="F287" s="92"/>
      <c r="G287" s="92"/>
      <c r="H287" s="113"/>
      <c r="I287" s="80"/>
      <c r="J287" s="80"/>
      <c r="K287" s="83"/>
      <c r="L287" s="82"/>
      <c r="M287" s="113"/>
      <c r="N287" s="146"/>
      <c r="O287" s="113"/>
      <c r="P287" s="147"/>
      <c r="Q287" s="23"/>
      <c r="R287" s="23"/>
      <c r="S287" s="8">
        <f t="shared" si="61"/>
        <v>177</v>
      </c>
      <c r="U287" s="8">
        <f t="shared" si="62"/>
        <v>0</v>
      </c>
    </row>
    <row r="288" spans="1:21" ht="15.75" hidden="1" customHeight="1">
      <c r="A288" s="136" t="str">
        <f t="shared" si="57"/>
        <v/>
      </c>
      <c r="B288" s="137" t="str">
        <f t="shared" si="58"/>
        <v/>
      </c>
      <c r="C288" s="135" t="str">
        <f t="shared" si="59"/>
        <v/>
      </c>
      <c r="D288" s="113"/>
      <c r="E288" s="92"/>
      <c r="F288" s="92"/>
      <c r="G288" s="92"/>
      <c r="H288" s="113"/>
      <c r="I288" s="80"/>
      <c r="J288" s="80"/>
      <c r="K288" s="83"/>
      <c r="L288" s="82"/>
      <c r="M288" s="113"/>
      <c r="N288" s="146"/>
      <c r="O288" s="113"/>
      <c r="P288" s="147"/>
      <c r="Q288" s="23"/>
      <c r="R288" s="23"/>
      <c r="S288" s="8">
        <f t="shared" si="61"/>
        <v>178</v>
      </c>
      <c r="U288" s="8">
        <f t="shared" si="62"/>
        <v>0</v>
      </c>
    </row>
    <row r="289" spans="1:21" ht="15.75" hidden="1" customHeight="1">
      <c r="A289" s="136" t="str">
        <f t="shared" si="57"/>
        <v/>
      </c>
      <c r="B289" s="137" t="str">
        <f t="shared" si="58"/>
        <v/>
      </c>
      <c r="C289" s="135" t="str">
        <f t="shared" si="59"/>
        <v/>
      </c>
      <c r="D289" s="113"/>
      <c r="E289" s="92"/>
      <c r="F289" s="92"/>
      <c r="G289" s="92"/>
      <c r="H289" s="113"/>
      <c r="I289" s="80"/>
      <c r="J289" s="80"/>
      <c r="K289" s="83"/>
      <c r="L289" s="82"/>
      <c r="M289" s="113"/>
      <c r="N289" s="146"/>
      <c r="O289" s="113"/>
      <c r="P289" s="147"/>
      <c r="Q289" s="23"/>
      <c r="R289" s="23"/>
      <c r="S289" s="8">
        <f t="shared" si="61"/>
        <v>179</v>
      </c>
      <c r="U289" s="8">
        <f t="shared" si="62"/>
        <v>0</v>
      </c>
    </row>
    <row r="290" spans="1:21" ht="15.75" hidden="1" customHeight="1">
      <c r="A290" s="136" t="str">
        <f t="shared" si="57"/>
        <v/>
      </c>
      <c r="B290" s="137" t="str">
        <f t="shared" si="58"/>
        <v/>
      </c>
      <c r="C290" s="135" t="str">
        <f t="shared" si="59"/>
        <v/>
      </c>
      <c r="D290" s="113"/>
      <c r="E290" s="92"/>
      <c r="F290" s="92"/>
      <c r="G290" s="92"/>
      <c r="H290" s="113"/>
      <c r="I290" s="80"/>
      <c r="J290" s="80"/>
      <c r="K290" s="83"/>
      <c r="L290" s="82"/>
      <c r="M290" s="113"/>
      <c r="N290" s="146"/>
      <c r="O290" s="113"/>
      <c r="P290" s="147"/>
      <c r="Q290" s="23"/>
      <c r="R290" s="23"/>
      <c r="S290" s="8">
        <f t="shared" si="61"/>
        <v>180</v>
      </c>
      <c r="U290" s="8">
        <f t="shared" si="62"/>
        <v>0</v>
      </c>
    </row>
    <row r="291" spans="1:21" ht="15.75" hidden="1" customHeight="1">
      <c r="A291" s="136" t="str">
        <f t="shared" si="57"/>
        <v/>
      </c>
      <c r="B291" s="137" t="str">
        <f t="shared" si="58"/>
        <v/>
      </c>
      <c r="C291" s="135" t="str">
        <f t="shared" si="59"/>
        <v/>
      </c>
      <c r="D291" s="113"/>
      <c r="E291" s="92"/>
      <c r="F291" s="92"/>
      <c r="G291" s="92"/>
      <c r="H291" s="113"/>
      <c r="I291" s="80"/>
      <c r="J291" s="80"/>
      <c r="K291" s="83"/>
      <c r="L291" s="82"/>
      <c r="M291" s="113"/>
      <c r="N291" s="146"/>
      <c r="O291" s="113"/>
      <c r="P291" s="147"/>
      <c r="Q291" s="23"/>
      <c r="R291" s="23"/>
      <c r="S291" s="8">
        <f t="shared" si="61"/>
        <v>181</v>
      </c>
      <c r="U291" s="8">
        <f t="shared" si="62"/>
        <v>0</v>
      </c>
    </row>
    <row r="292" spans="1:21" ht="15.75" hidden="1" customHeight="1">
      <c r="A292" s="136" t="str">
        <f t="shared" si="57"/>
        <v/>
      </c>
      <c r="B292" s="137" t="str">
        <f t="shared" si="58"/>
        <v/>
      </c>
      <c r="C292" s="135" t="str">
        <f t="shared" si="59"/>
        <v/>
      </c>
      <c r="D292" s="113"/>
      <c r="E292" s="92"/>
      <c r="F292" s="92"/>
      <c r="G292" s="92"/>
      <c r="H292" s="113"/>
      <c r="I292" s="80"/>
      <c r="J292" s="80"/>
      <c r="K292" s="83"/>
      <c r="L292" s="82"/>
      <c r="M292" s="113"/>
      <c r="N292" s="146"/>
      <c r="O292" s="113"/>
      <c r="P292" s="147"/>
      <c r="Q292" s="23"/>
      <c r="R292" s="23"/>
      <c r="S292" s="8">
        <f t="shared" si="61"/>
        <v>182</v>
      </c>
      <c r="U292" s="8">
        <f t="shared" si="62"/>
        <v>0</v>
      </c>
    </row>
    <row r="293" spans="1:21" ht="15.75" hidden="1" customHeight="1">
      <c r="A293" s="136" t="str">
        <f t="shared" si="57"/>
        <v/>
      </c>
      <c r="B293" s="137" t="str">
        <f t="shared" si="58"/>
        <v/>
      </c>
      <c r="C293" s="135" t="str">
        <f t="shared" si="59"/>
        <v/>
      </c>
      <c r="D293" s="113"/>
      <c r="E293" s="92"/>
      <c r="F293" s="92"/>
      <c r="G293" s="92"/>
      <c r="H293" s="113"/>
      <c r="I293" s="80"/>
      <c r="J293" s="80"/>
      <c r="K293" s="83"/>
      <c r="L293" s="82"/>
      <c r="M293" s="113"/>
      <c r="N293" s="146"/>
      <c r="O293" s="113"/>
      <c r="P293" s="147"/>
      <c r="Q293" s="23"/>
      <c r="R293" s="23"/>
      <c r="S293" s="8">
        <f t="shared" si="61"/>
        <v>183</v>
      </c>
      <c r="U293" s="8">
        <f t="shared" si="62"/>
        <v>0</v>
      </c>
    </row>
    <row r="294" spans="1:21" ht="15.75" hidden="1" customHeight="1">
      <c r="A294" s="136" t="str">
        <f t="shared" si="57"/>
        <v/>
      </c>
      <c r="B294" s="137" t="str">
        <f t="shared" si="58"/>
        <v/>
      </c>
      <c r="C294" s="135" t="str">
        <f t="shared" si="59"/>
        <v/>
      </c>
      <c r="D294" s="113"/>
      <c r="E294" s="92"/>
      <c r="F294" s="92"/>
      <c r="G294" s="92"/>
      <c r="H294" s="113"/>
      <c r="I294" s="80"/>
      <c r="J294" s="80"/>
      <c r="K294" s="83"/>
      <c r="L294" s="82"/>
      <c r="M294" s="113"/>
      <c r="N294" s="146"/>
      <c r="O294" s="113"/>
      <c r="P294" s="147"/>
      <c r="Q294" s="23"/>
      <c r="R294" s="23"/>
      <c r="S294" s="8">
        <f t="shared" si="61"/>
        <v>184</v>
      </c>
      <c r="U294" s="8">
        <f t="shared" si="62"/>
        <v>0</v>
      </c>
    </row>
    <row r="295" spans="1:21" ht="15.75" hidden="1" customHeight="1">
      <c r="A295" s="136" t="str">
        <f t="shared" si="57"/>
        <v/>
      </c>
      <c r="B295" s="137" t="str">
        <f t="shared" si="58"/>
        <v/>
      </c>
      <c r="C295" s="135" t="str">
        <f t="shared" si="59"/>
        <v/>
      </c>
      <c r="D295" s="113"/>
      <c r="E295" s="92"/>
      <c r="F295" s="92"/>
      <c r="G295" s="92"/>
      <c r="H295" s="113"/>
      <c r="I295" s="80"/>
      <c r="J295" s="80"/>
      <c r="K295" s="83"/>
      <c r="L295" s="82"/>
      <c r="M295" s="113"/>
      <c r="N295" s="146"/>
      <c r="O295" s="113"/>
      <c r="P295" s="147"/>
      <c r="Q295" s="23"/>
      <c r="R295" s="23"/>
      <c r="S295" s="8">
        <f t="shared" si="61"/>
        <v>185</v>
      </c>
      <c r="U295" s="8">
        <f t="shared" si="62"/>
        <v>0</v>
      </c>
    </row>
    <row r="296" spans="1:21" ht="15.75" hidden="1" customHeight="1">
      <c r="A296" s="136" t="str">
        <f t="shared" si="57"/>
        <v/>
      </c>
      <c r="B296" s="137" t="str">
        <f t="shared" si="58"/>
        <v/>
      </c>
      <c r="C296" s="135" t="str">
        <f t="shared" si="59"/>
        <v/>
      </c>
      <c r="D296" s="113"/>
      <c r="E296" s="92"/>
      <c r="F296" s="92"/>
      <c r="G296" s="92"/>
      <c r="H296" s="113"/>
      <c r="I296" s="80"/>
      <c r="J296" s="80"/>
      <c r="K296" s="83"/>
      <c r="L296" s="82"/>
      <c r="M296" s="113"/>
      <c r="N296" s="146"/>
      <c r="O296" s="113"/>
      <c r="P296" s="147"/>
      <c r="Q296" s="23"/>
      <c r="R296" s="23"/>
      <c r="S296" s="8">
        <f t="shared" si="61"/>
        <v>186</v>
      </c>
      <c r="U296" s="8">
        <f t="shared" si="62"/>
        <v>0</v>
      </c>
    </row>
    <row r="297" spans="1:21" ht="15.75" hidden="1" customHeight="1">
      <c r="A297" s="136" t="str">
        <f t="shared" si="57"/>
        <v/>
      </c>
      <c r="B297" s="137" t="str">
        <f t="shared" si="58"/>
        <v/>
      </c>
      <c r="C297" s="135" t="str">
        <f t="shared" si="59"/>
        <v/>
      </c>
      <c r="D297" s="113"/>
      <c r="E297" s="92"/>
      <c r="F297" s="92"/>
      <c r="G297" s="92"/>
      <c r="H297" s="113"/>
      <c r="I297" s="80"/>
      <c r="J297" s="80"/>
      <c r="K297" s="83"/>
      <c r="L297" s="82"/>
      <c r="M297" s="113"/>
      <c r="N297" s="146"/>
      <c r="O297" s="113"/>
      <c r="P297" s="147"/>
      <c r="Q297" s="23"/>
      <c r="R297" s="23"/>
      <c r="S297" s="8">
        <f t="shared" si="61"/>
        <v>187</v>
      </c>
      <c r="U297" s="8">
        <f t="shared" si="62"/>
        <v>0</v>
      </c>
    </row>
    <row r="298" spans="1:21" ht="15.75" hidden="1" customHeight="1">
      <c r="A298" s="136" t="str">
        <f t="shared" si="57"/>
        <v/>
      </c>
      <c r="B298" s="137" t="str">
        <f t="shared" si="58"/>
        <v/>
      </c>
      <c r="C298" s="135" t="str">
        <f t="shared" si="59"/>
        <v/>
      </c>
      <c r="D298" s="113"/>
      <c r="E298" s="92"/>
      <c r="F298" s="92"/>
      <c r="G298" s="92"/>
      <c r="H298" s="113"/>
      <c r="I298" s="80"/>
      <c r="J298" s="80"/>
      <c r="K298" s="83"/>
      <c r="L298" s="82"/>
      <c r="M298" s="113"/>
      <c r="N298" s="146"/>
      <c r="O298" s="113"/>
      <c r="P298" s="147"/>
      <c r="Q298" s="23"/>
      <c r="R298" s="23"/>
      <c r="S298" s="8">
        <f t="shared" si="61"/>
        <v>188</v>
      </c>
      <c r="U298" s="8">
        <f t="shared" si="62"/>
        <v>0</v>
      </c>
    </row>
    <row r="299" spans="1:21" ht="15.75" hidden="1" customHeight="1">
      <c r="A299" s="136" t="str">
        <f t="shared" si="57"/>
        <v/>
      </c>
      <c r="B299" s="137" t="str">
        <f t="shared" si="58"/>
        <v/>
      </c>
      <c r="C299" s="135" t="str">
        <f t="shared" si="59"/>
        <v/>
      </c>
      <c r="D299" s="113"/>
      <c r="E299" s="92"/>
      <c r="F299" s="92"/>
      <c r="G299" s="92"/>
      <c r="H299" s="113"/>
      <c r="I299" s="80"/>
      <c r="J299" s="80"/>
      <c r="K299" s="83"/>
      <c r="L299" s="82"/>
      <c r="M299" s="113"/>
      <c r="N299" s="146"/>
      <c r="O299" s="113"/>
      <c r="P299" s="147"/>
      <c r="Q299" s="23"/>
      <c r="R299" s="23"/>
      <c r="S299" s="8">
        <f t="shared" si="61"/>
        <v>189</v>
      </c>
      <c r="U299" s="8">
        <f t="shared" si="62"/>
        <v>0</v>
      </c>
    </row>
    <row r="300" spans="1:21" ht="15.75" hidden="1" customHeight="1">
      <c r="A300" s="136" t="str">
        <f t="shared" si="57"/>
        <v/>
      </c>
      <c r="B300" s="137" t="str">
        <f t="shared" si="58"/>
        <v/>
      </c>
      <c r="C300" s="135" t="str">
        <f t="shared" si="59"/>
        <v/>
      </c>
      <c r="D300" s="113"/>
      <c r="E300" s="92"/>
      <c r="F300" s="92"/>
      <c r="G300" s="92"/>
      <c r="H300" s="113"/>
      <c r="I300" s="80"/>
      <c r="J300" s="80"/>
      <c r="K300" s="83"/>
      <c r="L300" s="82"/>
      <c r="M300" s="113"/>
      <c r="N300" s="146"/>
      <c r="O300" s="113"/>
      <c r="P300" s="147"/>
      <c r="Q300" s="23"/>
      <c r="R300" s="23"/>
      <c r="S300" s="8">
        <f t="shared" si="61"/>
        <v>190</v>
      </c>
      <c r="U300" s="8">
        <f t="shared" si="62"/>
        <v>0</v>
      </c>
    </row>
    <row r="301" spans="1:21" ht="15.75" hidden="1" customHeight="1">
      <c r="A301" s="136" t="str">
        <f t="shared" si="57"/>
        <v/>
      </c>
      <c r="B301" s="137" t="str">
        <f t="shared" si="58"/>
        <v/>
      </c>
      <c r="C301" s="135" t="str">
        <f t="shared" si="59"/>
        <v/>
      </c>
      <c r="D301" s="113"/>
      <c r="E301" s="92"/>
      <c r="F301" s="92"/>
      <c r="G301" s="92"/>
      <c r="H301" s="113"/>
      <c r="I301" s="80"/>
      <c r="J301" s="80"/>
      <c r="K301" s="83"/>
      <c r="L301" s="82"/>
      <c r="M301" s="113"/>
      <c r="N301" s="146"/>
      <c r="O301" s="113"/>
      <c r="P301" s="147"/>
      <c r="Q301" s="23"/>
      <c r="R301" s="23"/>
      <c r="S301" s="8">
        <f t="shared" si="61"/>
        <v>191</v>
      </c>
      <c r="U301" s="8">
        <f t="shared" si="62"/>
        <v>0</v>
      </c>
    </row>
    <row r="302" spans="1:21" ht="15.75" hidden="1" customHeight="1">
      <c r="A302" s="136" t="str">
        <f t="shared" si="57"/>
        <v/>
      </c>
      <c r="B302" s="137" t="str">
        <f t="shared" si="58"/>
        <v/>
      </c>
      <c r="C302" s="135" t="str">
        <f t="shared" si="59"/>
        <v/>
      </c>
      <c r="D302" s="113"/>
      <c r="E302" s="92"/>
      <c r="F302" s="92"/>
      <c r="G302" s="92"/>
      <c r="H302" s="113"/>
      <c r="I302" s="80"/>
      <c r="J302" s="80"/>
      <c r="K302" s="83"/>
      <c r="L302" s="82"/>
      <c r="M302" s="113"/>
      <c r="N302" s="146"/>
      <c r="O302" s="113"/>
      <c r="P302" s="147"/>
      <c r="Q302" s="23"/>
      <c r="R302" s="23"/>
      <c r="S302" s="8">
        <f t="shared" si="61"/>
        <v>192</v>
      </c>
      <c r="U302" s="8">
        <f t="shared" si="62"/>
        <v>0</v>
      </c>
    </row>
    <row r="303" spans="1:21" ht="15.75" hidden="1" customHeight="1">
      <c r="A303" s="136" t="str">
        <f t="shared" si="57"/>
        <v/>
      </c>
      <c r="B303" s="137" t="str">
        <f t="shared" si="58"/>
        <v/>
      </c>
      <c r="C303" s="135" t="str">
        <f t="shared" si="59"/>
        <v/>
      </c>
      <c r="D303" s="113"/>
      <c r="E303" s="92"/>
      <c r="F303" s="92"/>
      <c r="G303" s="92"/>
      <c r="H303" s="113"/>
      <c r="I303" s="80"/>
      <c r="J303" s="80"/>
      <c r="K303" s="83"/>
      <c r="L303" s="82"/>
      <c r="M303" s="113"/>
      <c r="N303" s="146"/>
      <c r="O303" s="113"/>
      <c r="P303" s="147"/>
      <c r="Q303" s="23"/>
      <c r="R303" s="23"/>
      <c r="S303" s="8">
        <f t="shared" si="61"/>
        <v>193</v>
      </c>
      <c r="U303" s="8">
        <f t="shared" si="62"/>
        <v>0</v>
      </c>
    </row>
    <row r="304" spans="1:21" ht="15.75" hidden="1" customHeight="1">
      <c r="A304" s="136" t="str">
        <f t="shared" si="57"/>
        <v/>
      </c>
      <c r="B304" s="137" t="str">
        <f t="shared" si="58"/>
        <v/>
      </c>
      <c r="C304" s="135" t="str">
        <f t="shared" si="59"/>
        <v/>
      </c>
      <c r="D304" s="113"/>
      <c r="E304" s="92"/>
      <c r="F304" s="92"/>
      <c r="G304" s="92"/>
      <c r="H304" s="113"/>
      <c r="I304" s="80"/>
      <c r="J304" s="80"/>
      <c r="K304" s="83"/>
      <c r="L304" s="82"/>
      <c r="M304" s="113"/>
      <c r="N304" s="146"/>
      <c r="O304" s="113"/>
      <c r="P304" s="147"/>
      <c r="Q304" s="23"/>
      <c r="R304" s="23"/>
      <c r="S304" s="8">
        <f t="shared" si="61"/>
        <v>194</v>
      </c>
      <c r="U304" s="8">
        <f t="shared" si="62"/>
        <v>0</v>
      </c>
    </row>
    <row r="305" spans="1:21" ht="15.75" hidden="1" customHeight="1">
      <c r="A305" s="136" t="str">
        <f t="shared" si="57"/>
        <v/>
      </c>
      <c r="B305" s="137" t="str">
        <f t="shared" si="58"/>
        <v/>
      </c>
      <c r="C305" s="135" t="str">
        <f t="shared" si="59"/>
        <v/>
      </c>
      <c r="D305" s="113"/>
      <c r="E305" s="92"/>
      <c r="F305" s="92"/>
      <c r="G305" s="92"/>
      <c r="H305" s="113"/>
      <c r="I305" s="80"/>
      <c r="J305" s="80"/>
      <c r="K305" s="83"/>
      <c r="L305" s="82"/>
      <c r="M305" s="113"/>
      <c r="N305" s="146"/>
      <c r="O305" s="113"/>
      <c r="P305" s="147"/>
      <c r="Q305" s="23"/>
      <c r="R305" s="23"/>
      <c r="S305" s="8">
        <f t="shared" ref="S305:S361" si="63">+S304+1</f>
        <v>195</v>
      </c>
      <c r="U305" s="8">
        <f t="shared" si="62"/>
        <v>0</v>
      </c>
    </row>
    <row r="306" spans="1:21" ht="15.75" hidden="1" customHeight="1">
      <c r="A306" s="136" t="str">
        <f t="shared" si="57"/>
        <v/>
      </c>
      <c r="B306" s="137" t="str">
        <f t="shared" si="58"/>
        <v/>
      </c>
      <c r="C306" s="135" t="str">
        <f t="shared" si="59"/>
        <v/>
      </c>
      <c r="D306" s="113"/>
      <c r="E306" s="92"/>
      <c r="F306" s="92"/>
      <c r="G306" s="92"/>
      <c r="H306" s="113"/>
      <c r="I306" s="80"/>
      <c r="J306" s="80"/>
      <c r="K306" s="83"/>
      <c r="L306" s="82"/>
      <c r="M306" s="113"/>
      <c r="N306" s="146"/>
      <c r="O306" s="113"/>
      <c r="P306" s="147"/>
      <c r="Q306" s="23"/>
      <c r="R306" s="23"/>
      <c r="S306" s="8">
        <f t="shared" si="63"/>
        <v>196</v>
      </c>
      <c r="U306" s="8">
        <f t="shared" si="62"/>
        <v>0</v>
      </c>
    </row>
    <row r="307" spans="1:21" ht="15.75" hidden="1" customHeight="1">
      <c r="A307" s="136" t="str">
        <f t="shared" si="57"/>
        <v/>
      </c>
      <c r="B307" s="137" t="str">
        <f t="shared" si="58"/>
        <v/>
      </c>
      <c r="C307" s="135" t="str">
        <f t="shared" si="59"/>
        <v/>
      </c>
      <c r="D307" s="113"/>
      <c r="E307" s="92"/>
      <c r="F307" s="92"/>
      <c r="G307" s="92"/>
      <c r="H307" s="113"/>
      <c r="I307" s="80"/>
      <c r="J307" s="80"/>
      <c r="K307" s="83"/>
      <c r="L307" s="82"/>
      <c r="M307" s="113"/>
      <c r="N307" s="146"/>
      <c r="O307" s="113"/>
      <c r="P307" s="147"/>
      <c r="Q307" s="23"/>
      <c r="R307" s="23"/>
      <c r="S307" s="8">
        <f t="shared" si="63"/>
        <v>197</v>
      </c>
      <c r="U307" s="8">
        <f t="shared" si="62"/>
        <v>0</v>
      </c>
    </row>
    <row r="308" spans="1:21" ht="15.75" hidden="1" customHeight="1">
      <c r="A308" s="136" t="str">
        <f t="shared" si="57"/>
        <v/>
      </c>
      <c r="B308" s="137" t="str">
        <f t="shared" si="58"/>
        <v/>
      </c>
      <c r="C308" s="135" t="str">
        <f t="shared" si="59"/>
        <v/>
      </c>
      <c r="D308" s="113"/>
      <c r="E308" s="92"/>
      <c r="F308" s="92"/>
      <c r="G308" s="92"/>
      <c r="H308" s="113"/>
      <c r="I308" s="80"/>
      <c r="J308" s="80"/>
      <c r="K308" s="83"/>
      <c r="L308" s="82"/>
      <c r="M308" s="113"/>
      <c r="N308" s="146"/>
      <c r="O308" s="113"/>
      <c r="P308" s="147"/>
      <c r="Q308" s="23"/>
      <c r="R308" s="23"/>
      <c r="S308" s="8">
        <f t="shared" si="63"/>
        <v>198</v>
      </c>
      <c r="U308" s="8">
        <f t="shared" si="62"/>
        <v>0</v>
      </c>
    </row>
    <row r="309" spans="1:21" ht="15.75" hidden="1" customHeight="1">
      <c r="A309" s="136" t="str">
        <f t="shared" si="57"/>
        <v/>
      </c>
      <c r="B309" s="137" t="str">
        <f t="shared" si="58"/>
        <v/>
      </c>
      <c r="C309" s="135" t="str">
        <f t="shared" si="59"/>
        <v/>
      </c>
      <c r="D309" s="113"/>
      <c r="E309" s="92"/>
      <c r="F309" s="92"/>
      <c r="G309" s="92"/>
      <c r="H309" s="113"/>
      <c r="I309" s="80"/>
      <c r="J309" s="80"/>
      <c r="K309" s="83"/>
      <c r="L309" s="82"/>
      <c r="M309" s="113"/>
      <c r="N309" s="146"/>
      <c r="O309" s="113"/>
      <c r="P309" s="147"/>
      <c r="Q309" s="23"/>
      <c r="R309" s="23"/>
      <c r="S309" s="8">
        <f t="shared" si="63"/>
        <v>199</v>
      </c>
      <c r="U309" s="8">
        <f t="shared" si="62"/>
        <v>0</v>
      </c>
    </row>
    <row r="310" spans="1:21" ht="15.75" hidden="1" customHeight="1">
      <c r="A310" s="136" t="str">
        <f t="shared" si="57"/>
        <v/>
      </c>
      <c r="B310" s="137" t="str">
        <f t="shared" si="58"/>
        <v/>
      </c>
      <c r="C310" s="135" t="str">
        <f t="shared" si="59"/>
        <v/>
      </c>
      <c r="D310" s="113"/>
      <c r="E310" s="92"/>
      <c r="F310" s="92"/>
      <c r="G310" s="92"/>
      <c r="H310" s="113"/>
      <c r="I310" s="80"/>
      <c r="J310" s="80"/>
      <c r="K310" s="83"/>
      <c r="L310" s="82"/>
      <c r="M310" s="113"/>
      <c r="N310" s="146"/>
      <c r="O310" s="113"/>
      <c r="P310" s="147"/>
      <c r="Q310" s="23"/>
      <c r="R310" s="23"/>
      <c r="S310" s="8">
        <f t="shared" si="63"/>
        <v>200</v>
      </c>
      <c r="U310" s="8">
        <f t="shared" si="62"/>
        <v>0</v>
      </c>
    </row>
    <row r="311" spans="1:21" ht="15.75" hidden="1" customHeight="1">
      <c r="A311" s="136" t="str">
        <f t="shared" si="57"/>
        <v/>
      </c>
      <c r="B311" s="137" t="str">
        <f t="shared" si="58"/>
        <v/>
      </c>
      <c r="C311" s="135" t="str">
        <f t="shared" si="59"/>
        <v/>
      </c>
      <c r="D311" s="113"/>
      <c r="E311" s="92"/>
      <c r="F311" s="92"/>
      <c r="G311" s="92"/>
      <c r="H311" s="113"/>
      <c r="I311" s="80"/>
      <c r="J311" s="80"/>
      <c r="K311" s="83"/>
      <c r="L311" s="82"/>
      <c r="M311" s="113"/>
      <c r="N311" s="146"/>
      <c r="O311" s="113"/>
      <c r="P311" s="147"/>
      <c r="Q311" s="23"/>
      <c r="R311" s="23"/>
      <c r="S311" s="8">
        <f t="shared" si="63"/>
        <v>201</v>
      </c>
      <c r="U311" s="8">
        <f t="shared" si="62"/>
        <v>0</v>
      </c>
    </row>
    <row r="312" spans="1:21" ht="15.75" hidden="1" customHeight="1">
      <c r="A312" s="136" t="str">
        <f t="shared" si="57"/>
        <v/>
      </c>
      <c r="B312" s="137" t="str">
        <f t="shared" si="58"/>
        <v/>
      </c>
      <c r="C312" s="135" t="str">
        <f t="shared" si="59"/>
        <v/>
      </c>
      <c r="D312" s="113"/>
      <c r="E312" s="92"/>
      <c r="F312" s="92"/>
      <c r="G312" s="92"/>
      <c r="H312" s="113"/>
      <c r="I312" s="80"/>
      <c r="J312" s="80"/>
      <c r="K312" s="83"/>
      <c r="L312" s="82"/>
      <c r="M312" s="113"/>
      <c r="N312" s="146"/>
      <c r="O312" s="113"/>
      <c r="P312" s="147"/>
      <c r="Q312" s="23"/>
      <c r="R312" s="23"/>
      <c r="S312" s="8">
        <f t="shared" si="63"/>
        <v>202</v>
      </c>
      <c r="U312" s="8">
        <f t="shared" si="62"/>
        <v>0</v>
      </c>
    </row>
    <row r="313" spans="1:21" ht="15.75" hidden="1" customHeight="1">
      <c r="A313" s="136" t="str">
        <f t="shared" si="57"/>
        <v/>
      </c>
      <c r="B313" s="137" t="str">
        <f t="shared" si="58"/>
        <v/>
      </c>
      <c r="C313" s="135" t="str">
        <f t="shared" si="59"/>
        <v/>
      </c>
      <c r="D313" s="113"/>
      <c r="E313" s="92"/>
      <c r="F313" s="92"/>
      <c r="G313" s="92"/>
      <c r="H313" s="113"/>
      <c r="I313" s="80"/>
      <c r="J313" s="80"/>
      <c r="K313" s="83"/>
      <c r="L313" s="82"/>
      <c r="M313" s="113"/>
      <c r="N313" s="146"/>
      <c r="O313" s="113"/>
      <c r="P313" s="147"/>
      <c r="Q313" s="23"/>
      <c r="R313" s="23"/>
      <c r="S313" s="8">
        <f t="shared" si="63"/>
        <v>203</v>
      </c>
      <c r="U313" s="8">
        <f t="shared" si="62"/>
        <v>0</v>
      </c>
    </row>
    <row r="314" spans="1:21" ht="15.75" hidden="1" customHeight="1">
      <c r="A314" s="136" t="str">
        <f t="shared" si="57"/>
        <v/>
      </c>
      <c r="B314" s="137" t="str">
        <f t="shared" si="58"/>
        <v/>
      </c>
      <c r="C314" s="135" t="str">
        <f t="shared" si="59"/>
        <v/>
      </c>
      <c r="D314" s="113"/>
      <c r="E314" s="92"/>
      <c r="F314" s="92"/>
      <c r="G314" s="92"/>
      <c r="H314" s="113"/>
      <c r="I314" s="80"/>
      <c r="J314" s="80"/>
      <c r="K314" s="83"/>
      <c r="L314" s="82"/>
      <c r="M314" s="113"/>
      <c r="N314" s="146"/>
      <c r="O314" s="113"/>
      <c r="P314" s="147"/>
      <c r="Q314" s="23"/>
      <c r="R314" s="23"/>
      <c r="S314" s="8">
        <f t="shared" si="63"/>
        <v>204</v>
      </c>
      <c r="U314" s="8">
        <f t="shared" si="62"/>
        <v>0</v>
      </c>
    </row>
    <row r="315" spans="1:21" ht="15.75" hidden="1" customHeight="1">
      <c r="A315" s="136" t="str">
        <f t="shared" si="57"/>
        <v/>
      </c>
      <c r="B315" s="137" t="str">
        <f t="shared" si="58"/>
        <v/>
      </c>
      <c r="C315" s="135" t="str">
        <f t="shared" si="59"/>
        <v/>
      </c>
      <c r="D315" s="113"/>
      <c r="E315" s="92"/>
      <c r="F315" s="92"/>
      <c r="G315" s="92"/>
      <c r="H315" s="113"/>
      <c r="I315" s="80"/>
      <c r="J315" s="80"/>
      <c r="K315" s="83"/>
      <c r="L315" s="82"/>
      <c r="M315" s="113"/>
      <c r="N315" s="146"/>
      <c r="O315" s="113"/>
      <c r="P315" s="147"/>
      <c r="Q315" s="23"/>
      <c r="R315" s="23"/>
      <c r="S315" s="8">
        <f t="shared" si="63"/>
        <v>205</v>
      </c>
      <c r="U315" s="8">
        <f t="shared" si="62"/>
        <v>0</v>
      </c>
    </row>
    <row r="316" spans="1:21" ht="15.75" hidden="1" customHeight="1">
      <c r="A316" s="136" t="str">
        <f t="shared" si="57"/>
        <v/>
      </c>
      <c r="B316" s="137" t="str">
        <f t="shared" si="58"/>
        <v/>
      </c>
      <c r="C316" s="135" t="str">
        <f t="shared" si="59"/>
        <v/>
      </c>
      <c r="D316" s="113"/>
      <c r="E316" s="92"/>
      <c r="F316" s="92"/>
      <c r="G316" s="92"/>
      <c r="H316" s="113"/>
      <c r="I316" s="80"/>
      <c r="J316" s="80"/>
      <c r="K316" s="83"/>
      <c r="L316" s="82"/>
      <c r="M316" s="113"/>
      <c r="N316" s="146"/>
      <c r="O316" s="113"/>
      <c r="P316" s="147"/>
      <c r="Q316" s="23"/>
      <c r="R316" s="23"/>
      <c r="S316" s="8">
        <f t="shared" si="63"/>
        <v>206</v>
      </c>
      <c r="U316" s="8">
        <f t="shared" si="62"/>
        <v>0</v>
      </c>
    </row>
    <row r="317" spans="1:21" ht="15.75" hidden="1" customHeight="1">
      <c r="A317" s="136" t="str">
        <f t="shared" si="57"/>
        <v/>
      </c>
      <c r="B317" s="137" t="str">
        <f t="shared" si="58"/>
        <v/>
      </c>
      <c r="C317" s="135" t="str">
        <f t="shared" si="59"/>
        <v/>
      </c>
      <c r="D317" s="113"/>
      <c r="E317" s="92"/>
      <c r="F317" s="92"/>
      <c r="G317" s="92"/>
      <c r="H317" s="113"/>
      <c r="I317" s="80"/>
      <c r="J317" s="80"/>
      <c r="K317" s="83"/>
      <c r="L317" s="82"/>
      <c r="M317" s="113"/>
      <c r="N317" s="146"/>
      <c r="O317" s="113"/>
      <c r="P317" s="147"/>
      <c r="Q317" s="23"/>
      <c r="R317" s="23"/>
      <c r="S317" s="8">
        <f t="shared" si="63"/>
        <v>207</v>
      </c>
      <c r="U317" s="8">
        <f t="shared" si="62"/>
        <v>0</v>
      </c>
    </row>
    <row r="318" spans="1:21" ht="15.75" hidden="1" customHeight="1">
      <c r="A318" s="136" t="str">
        <f t="shared" si="57"/>
        <v/>
      </c>
      <c r="B318" s="137" t="str">
        <f t="shared" si="58"/>
        <v/>
      </c>
      <c r="C318" s="135" t="str">
        <f t="shared" si="59"/>
        <v/>
      </c>
      <c r="D318" s="113"/>
      <c r="E318" s="92"/>
      <c r="F318" s="92"/>
      <c r="G318" s="92"/>
      <c r="H318" s="113"/>
      <c r="I318" s="80"/>
      <c r="J318" s="80"/>
      <c r="K318" s="83"/>
      <c r="L318" s="82"/>
      <c r="M318" s="113"/>
      <c r="N318" s="146"/>
      <c r="O318" s="113"/>
      <c r="P318" s="147"/>
      <c r="Q318" s="23"/>
      <c r="R318" s="23"/>
      <c r="S318" s="8">
        <f t="shared" si="63"/>
        <v>208</v>
      </c>
      <c r="U318" s="8">
        <f t="shared" si="62"/>
        <v>0</v>
      </c>
    </row>
    <row r="319" spans="1:21" ht="15.75" hidden="1" customHeight="1">
      <c r="A319" s="136" t="str">
        <f t="shared" si="57"/>
        <v/>
      </c>
      <c r="B319" s="137" t="str">
        <f t="shared" si="58"/>
        <v/>
      </c>
      <c r="C319" s="135" t="str">
        <f t="shared" si="59"/>
        <v/>
      </c>
      <c r="D319" s="113"/>
      <c r="E319" s="92"/>
      <c r="F319" s="92"/>
      <c r="G319" s="92"/>
      <c r="H319" s="113"/>
      <c r="I319" s="80"/>
      <c r="J319" s="80"/>
      <c r="K319" s="83"/>
      <c r="L319" s="82"/>
      <c r="M319" s="113"/>
      <c r="N319" s="146"/>
      <c r="O319" s="113"/>
      <c r="P319" s="147"/>
      <c r="Q319" s="23"/>
      <c r="R319" s="23"/>
      <c r="S319" s="8">
        <f t="shared" si="63"/>
        <v>209</v>
      </c>
      <c r="U319" s="8">
        <f t="shared" si="62"/>
        <v>0</v>
      </c>
    </row>
    <row r="320" spans="1:21" ht="15.75" hidden="1" customHeight="1">
      <c r="A320" s="136" t="str">
        <f t="shared" si="57"/>
        <v/>
      </c>
      <c r="B320" s="137" t="str">
        <f t="shared" si="58"/>
        <v/>
      </c>
      <c r="C320" s="135" t="str">
        <f t="shared" si="59"/>
        <v/>
      </c>
      <c r="D320" s="113"/>
      <c r="E320" s="92"/>
      <c r="F320" s="92"/>
      <c r="G320" s="92"/>
      <c r="H320" s="113"/>
      <c r="I320" s="80"/>
      <c r="J320" s="80"/>
      <c r="K320" s="83"/>
      <c r="L320" s="82"/>
      <c r="M320" s="113"/>
      <c r="N320" s="146"/>
      <c r="O320" s="113"/>
      <c r="P320" s="147"/>
      <c r="Q320" s="23"/>
      <c r="R320" s="23"/>
      <c r="S320" s="8">
        <f t="shared" si="63"/>
        <v>210</v>
      </c>
      <c r="U320" s="8">
        <f t="shared" si="62"/>
        <v>0</v>
      </c>
    </row>
    <row r="321" spans="1:21" ht="15.75" hidden="1" customHeight="1">
      <c r="A321" s="136" t="str">
        <f t="shared" si="57"/>
        <v/>
      </c>
      <c r="B321" s="137" t="str">
        <f t="shared" si="58"/>
        <v/>
      </c>
      <c r="C321" s="135" t="str">
        <f t="shared" si="59"/>
        <v/>
      </c>
      <c r="D321" s="113"/>
      <c r="E321" s="92"/>
      <c r="F321" s="92"/>
      <c r="G321" s="92"/>
      <c r="H321" s="113"/>
      <c r="I321" s="80"/>
      <c r="J321" s="80"/>
      <c r="K321" s="83"/>
      <c r="L321" s="82"/>
      <c r="M321" s="113"/>
      <c r="N321" s="146"/>
      <c r="O321" s="113"/>
      <c r="P321" s="147"/>
      <c r="Q321" s="23"/>
      <c r="R321" s="23"/>
      <c r="S321" s="8">
        <f t="shared" si="63"/>
        <v>211</v>
      </c>
      <c r="U321" s="8">
        <f t="shared" si="62"/>
        <v>0</v>
      </c>
    </row>
    <row r="322" spans="1:21" ht="15.75" hidden="1" customHeight="1">
      <c r="A322" s="136" t="str">
        <f t="shared" si="57"/>
        <v/>
      </c>
      <c r="B322" s="137" t="str">
        <f t="shared" si="58"/>
        <v/>
      </c>
      <c r="C322" s="135" t="str">
        <f t="shared" si="59"/>
        <v/>
      </c>
      <c r="D322" s="113"/>
      <c r="E322" s="92"/>
      <c r="F322" s="92"/>
      <c r="G322" s="92"/>
      <c r="H322" s="113"/>
      <c r="I322" s="80"/>
      <c r="J322" s="80"/>
      <c r="K322" s="83"/>
      <c r="L322" s="82"/>
      <c r="M322" s="113"/>
      <c r="N322" s="146"/>
      <c r="O322" s="113"/>
      <c r="P322" s="147"/>
      <c r="Q322" s="23"/>
      <c r="R322" s="23"/>
      <c r="S322" s="8">
        <f t="shared" si="63"/>
        <v>212</v>
      </c>
      <c r="U322" s="8">
        <f t="shared" si="62"/>
        <v>0</v>
      </c>
    </row>
    <row r="323" spans="1:21" ht="15.75" hidden="1" customHeight="1">
      <c r="A323" s="136" t="str">
        <f t="shared" si="57"/>
        <v/>
      </c>
      <c r="B323" s="137" t="str">
        <f t="shared" si="58"/>
        <v/>
      </c>
      <c r="C323" s="135" t="str">
        <f t="shared" si="59"/>
        <v/>
      </c>
      <c r="D323" s="113"/>
      <c r="E323" s="92"/>
      <c r="F323" s="92"/>
      <c r="G323" s="92"/>
      <c r="H323" s="113"/>
      <c r="I323" s="80"/>
      <c r="J323" s="80"/>
      <c r="K323" s="83"/>
      <c r="L323" s="82"/>
      <c r="M323" s="113"/>
      <c r="N323" s="146"/>
      <c r="O323" s="113"/>
      <c r="P323" s="147"/>
      <c r="Q323" s="23"/>
      <c r="R323" s="23"/>
      <c r="S323" s="8">
        <f t="shared" si="63"/>
        <v>213</v>
      </c>
      <c r="U323" s="8">
        <f t="shared" si="62"/>
        <v>0</v>
      </c>
    </row>
    <row r="324" spans="1:21" ht="15.75" hidden="1" customHeight="1">
      <c r="A324" s="136" t="str">
        <f t="shared" si="57"/>
        <v/>
      </c>
      <c r="B324" s="137" t="str">
        <f t="shared" si="58"/>
        <v/>
      </c>
      <c r="C324" s="135" t="str">
        <f t="shared" si="59"/>
        <v/>
      </c>
      <c r="D324" s="113"/>
      <c r="E324" s="92"/>
      <c r="F324" s="92"/>
      <c r="G324" s="92"/>
      <c r="H324" s="113"/>
      <c r="I324" s="80"/>
      <c r="J324" s="80"/>
      <c r="K324" s="83"/>
      <c r="L324" s="82"/>
      <c r="M324" s="113"/>
      <c r="N324" s="146"/>
      <c r="O324" s="113"/>
      <c r="P324" s="147"/>
      <c r="Q324" s="23"/>
      <c r="R324" s="23"/>
      <c r="S324" s="8">
        <f t="shared" si="63"/>
        <v>214</v>
      </c>
      <c r="U324" s="8">
        <f t="shared" si="62"/>
        <v>0</v>
      </c>
    </row>
    <row r="325" spans="1:21" ht="15.75" hidden="1" customHeight="1">
      <c r="A325" s="136" t="str">
        <f t="shared" si="57"/>
        <v/>
      </c>
      <c r="B325" s="137" t="str">
        <f t="shared" si="58"/>
        <v/>
      </c>
      <c r="C325" s="135" t="str">
        <f t="shared" si="59"/>
        <v/>
      </c>
      <c r="D325" s="113"/>
      <c r="E325" s="92"/>
      <c r="F325" s="92"/>
      <c r="G325" s="92"/>
      <c r="H325" s="113"/>
      <c r="I325" s="80"/>
      <c r="J325" s="80"/>
      <c r="K325" s="83"/>
      <c r="L325" s="82"/>
      <c r="M325" s="113"/>
      <c r="N325" s="146"/>
      <c r="O325" s="113"/>
      <c r="P325" s="147"/>
      <c r="Q325" s="23"/>
      <c r="R325" s="23"/>
      <c r="S325" s="8">
        <f t="shared" si="63"/>
        <v>215</v>
      </c>
      <c r="U325" s="8">
        <f t="shared" ref="U325:U361" si="64">IF(LEN(INDEX(ChangeData,S325,1))&gt;0,1,0)</f>
        <v>0</v>
      </c>
    </row>
    <row r="326" spans="1:21" ht="15.75" hidden="1" customHeight="1">
      <c r="A326" s="136" t="str">
        <f t="shared" si="57"/>
        <v/>
      </c>
      <c r="B326" s="137" t="str">
        <f t="shared" si="58"/>
        <v/>
      </c>
      <c r="C326" s="135" t="str">
        <f t="shared" si="59"/>
        <v/>
      </c>
      <c r="D326" s="113"/>
      <c r="E326" s="92"/>
      <c r="F326" s="92"/>
      <c r="G326" s="92"/>
      <c r="H326" s="113"/>
      <c r="I326" s="80"/>
      <c r="J326" s="80"/>
      <c r="K326" s="83"/>
      <c r="L326" s="82"/>
      <c r="M326" s="113"/>
      <c r="N326" s="146"/>
      <c r="O326" s="113"/>
      <c r="P326" s="147"/>
      <c r="Q326" s="23"/>
      <c r="R326" s="23"/>
      <c r="S326" s="8">
        <f t="shared" si="63"/>
        <v>216</v>
      </c>
      <c r="U326" s="8">
        <f t="shared" si="64"/>
        <v>0</v>
      </c>
    </row>
    <row r="327" spans="1:21" ht="15.75" hidden="1" customHeight="1">
      <c r="A327" s="136" t="str">
        <f t="shared" si="57"/>
        <v/>
      </c>
      <c r="B327" s="137" t="str">
        <f t="shared" si="58"/>
        <v/>
      </c>
      <c r="C327" s="135" t="str">
        <f t="shared" si="59"/>
        <v/>
      </c>
      <c r="D327" s="113"/>
      <c r="E327" s="92"/>
      <c r="F327" s="92"/>
      <c r="G327" s="92"/>
      <c r="H327" s="113"/>
      <c r="I327" s="80"/>
      <c r="J327" s="80"/>
      <c r="K327" s="83"/>
      <c r="L327" s="82"/>
      <c r="M327" s="113"/>
      <c r="N327" s="146"/>
      <c r="O327" s="113"/>
      <c r="P327" s="147"/>
      <c r="Q327" s="23"/>
      <c r="R327" s="23"/>
      <c r="S327" s="8">
        <f t="shared" si="63"/>
        <v>217</v>
      </c>
      <c r="U327" s="8">
        <f t="shared" si="64"/>
        <v>0</v>
      </c>
    </row>
    <row r="328" spans="1:21" ht="15.75" hidden="1" customHeight="1">
      <c r="A328" s="136" t="str">
        <f t="shared" si="57"/>
        <v/>
      </c>
      <c r="B328" s="137" t="str">
        <f t="shared" si="58"/>
        <v/>
      </c>
      <c r="C328" s="135" t="str">
        <f t="shared" si="59"/>
        <v/>
      </c>
      <c r="D328" s="113"/>
      <c r="E328" s="92"/>
      <c r="F328" s="92"/>
      <c r="G328" s="92"/>
      <c r="H328" s="113"/>
      <c r="I328" s="80"/>
      <c r="J328" s="80"/>
      <c r="K328" s="83"/>
      <c r="L328" s="82"/>
      <c r="M328" s="113"/>
      <c r="N328" s="146"/>
      <c r="O328" s="113"/>
      <c r="P328" s="147"/>
      <c r="Q328" s="23"/>
      <c r="R328" s="23"/>
      <c r="S328" s="8">
        <f t="shared" si="63"/>
        <v>218</v>
      </c>
      <c r="U328" s="8">
        <f t="shared" si="64"/>
        <v>0</v>
      </c>
    </row>
    <row r="329" spans="1:21" ht="15.75" hidden="1" customHeight="1">
      <c r="A329" s="136" t="str">
        <f t="shared" si="57"/>
        <v/>
      </c>
      <c r="B329" s="137" t="str">
        <f t="shared" si="58"/>
        <v/>
      </c>
      <c r="C329" s="135" t="str">
        <f t="shared" si="59"/>
        <v/>
      </c>
      <c r="D329" s="113"/>
      <c r="E329" s="92"/>
      <c r="F329" s="92"/>
      <c r="G329" s="92"/>
      <c r="H329" s="113"/>
      <c r="I329" s="80"/>
      <c r="J329" s="80"/>
      <c r="K329" s="83"/>
      <c r="L329" s="82"/>
      <c r="M329" s="113"/>
      <c r="N329" s="146"/>
      <c r="O329" s="113"/>
      <c r="P329" s="147"/>
      <c r="Q329" s="23"/>
      <c r="R329" s="23"/>
      <c r="S329" s="8">
        <f t="shared" si="63"/>
        <v>219</v>
      </c>
      <c r="U329" s="8">
        <f t="shared" si="64"/>
        <v>0</v>
      </c>
    </row>
    <row r="330" spans="1:21" ht="15.75" hidden="1" customHeight="1">
      <c r="A330" s="136" t="str">
        <f t="shared" si="57"/>
        <v/>
      </c>
      <c r="B330" s="137" t="str">
        <f t="shared" si="58"/>
        <v/>
      </c>
      <c r="C330" s="135" t="str">
        <f t="shared" si="59"/>
        <v/>
      </c>
      <c r="D330" s="113"/>
      <c r="E330" s="92"/>
      <c r="F330" s="92"/>
      <c r="G330" s="92"/>
      <c r="H330" s="113"/>
      <c r="I330" s="80"/>
      <c r="J330" s="80"/>
      <c r="K330" s="83"/>
      <c r="L330" s="82"/>
      <c r="M330" s="113"/>
      <c r="N330" s="146"/>
      <c r="O330" s="113"/>
      <c r="P330" s="147"/>
      <c r="Q330" s="23"/>
      <c r="R330" s="23"/>
      <c r="S330" s="8">
        <f t="shared" si="63"/>
        <v>220</v>
      </c>
      <c r="U330" s="8">
        <f t="shared" si="64"/>
        <v>0</v>
      </c>
    </row>
    <row r="331" spans="1:21" ht="15.75" hidden="1" customHeight="1">
      <c r="A331" s="136" t="str">
        <f t="shared" si="57"/>
        <v/>
      </c>
      <c r="B331" s="137" t="str">
        <f t="shared" si="58"/>
        <v/>
      </c>
      <c r="C331" s="135" t="str">
        <f t="shared" si="59"/>
        <v/>
      </c>
      <c r="D331" s="113"/>
      <c r="E331" s="92"/>
      <c r="F331" s="92"/>
      <c r="G331" s="92"/>
      <c r="H331" s="113"/>
      <c r="I331" s="80"/>
      <c r="J331" s="80"/>
      <c r="K331" s="83"/>
      <c r="L331" s="82"/>
      <c r="M331" s="113"/>
      <c r="N331" s="146"/>
      <c r="O331" s="113"/>
      <c r="P331" s="147"/>
      <c r="Q331" s="23"/>
      <c r="R331" s="23"/>
      <c r="S331" s="8">
        <f t="shared" si="63"/>
        <v>221</v>
      </c>
      <c r="U331" s="8">
        <f t="shared" si="64"/>
        <v>0</v>
      </c>
    </row>
    <row r="332" spans="1:21" ht="15.75" hidden="1" customHeight="1">
      <c r="A332" s="136" t="str">
        <f t="shared" si="57"/>
        <v/>
      </c>
      <c r="B332" s="137" t="str">
        <f t="shared" si="58"/>
        <v/>
      </c>
      <c r="C332" s="135" t="str">
        <f t="shared" si="59"/>
        <v/>
      </c>
      <c r="D332" s="113"/>
      <c r="E332" s="92"/>
      <c r="F332" s="92"/>
      <c r="G332" s="92"/>
      <c r="H332" s="113"/>
      <c r="I332" s="80"/>
      <c r="J332" s="80"/>
      <c r="K332" s="83"/>
      <c r="L332" s="82"/>
      <c r="M332" s="113"/>
      <c r="N332" s="146"/>
      <c r="O332" s="113"/>
      <c r="P332" s="147"/>
      <c r="Q332" s="23"/>
      <c r="R332" s="23"/>
      <c r="S332" s="8">
        <f t="shared" si="63"/>
        <v>222</v>
      </c>
      <c r="U332" s="8">
        <f t="shared" si="64"/>
        <v>0</v>
      </c>
    </row>
    <row r="333" spans="1:21" ht="15.75" hidden="1" customHeight="1">
      <c r="A333" s="136" t="str">
        <f t="shared" si="57"/>
        <v/>
      </c>
      <c r="B333" s="137" t="str">
        <f t="shared" si="58"/>
        <v/>
      </c>
      <c r="C333" s="135" t="str">
        <f t="shared" si="59"/>
        <v/>
      </c>
      <c r="D333" s="113"/>
      <c r="E333" s="92"/>
      <c r="F333" s="92"/>
      <c r="G333" s="92"/>
      <c r="H333" s="113"/>
      <c r="I333" s="80"/>
      <c r="J333" s="80"/>
      <c r="K333" s="83"/>
      <c r="L333" s="82"/>
      <c r="M333" s="113"/>
      <c r="N333" s="146"/>
      <c r="O333" s="113"/>
      <c r="P333" s="147"/>
      <c r="Q333" s="23"/>
      <c r="R333" s="23"/>
      <c r="S333" s="8">
        <f t="shared" si="63"/>
        <v>223</v>
      </c>
      <c r="U333" s="8">
        <f t="shared" si="64"/>
        <v>0</v>
      </c>
    </row>
    <row r="334" spans="1:21" ht="15.75" hidden="1" customHeight="1">
      <c r="A334" s="136" t="str">
        <f t="shared" si="57"/>
        <v/>
      </c>
      <c r="B334" s="137" t="str">
        <f t="shared" si="58"/>
        <v/>
      </c>
      <c r="C334" s="135" t="str">
        <f t="shared" si="59"/>
        <v/>
      </c>
      <c r="D334" s="113"/>
      <c r="E334" s="92"/>
      <c r="F334" s="92"/>
      <c r="G334" s="92"/>
      <c r="H334" s="113"/>
      <c r="I334" s="80"/>
      <c r="J334" s="80"/>
      <c r="K334" s="83"/>
      <c r="L334" s="82"/>
      <c r="M334" s="113"/>
      <c r="N334" s="146"/>
      <c r="O334" s="113"/>
      <c r="P334" s="147"/>
      <c r="Q334" s="23"/>
      <c r="R334" s="23"/>
      <c r="S334" s="8">
        <f t="shared" si="63"/>
        <v>224</v>
      </c>
      <c r="U334" s="8">
        <f t="shared" si="64"/>
        <v>0</v>
      </c>
    </row>
    <row r="335" spans="1:21" ht="15.75" hidden="1" customHeight="1">
      <c r="A335" s="136" t="str">
        <f t="shared" si="57"/>
        <v/>
      </c>
      <c r="B335" s="137" t="str">
        <f t="shared" si="58"/>
        <v/>
      </c>
      <c r="C335" s="135" t="str">
        <f t="shared" si="59"/>
        <v/>
      </c>
      <c r="D335" s="113"/>
      <c r="E335" s="92"/>
      <c r="F335" s="92"/>
      <c r="G335" s="92"/>
      <c r="H335" s="113"/>
      <c r="I335" s="80"/>
      <c r="J335" s="80"/>
      <c r="K335" s="83"/>
      <c r="L335" s="82"/>
      <c r="M335" s="113"/>
      <c r="N335" s="146"/>
      <c r="O335" s="113"/>
      <c r="P335" s="147"/>
      <c r="Q335" s="23"/>
      <c r="R335" s="23"/>
      <c r="S335" s="8">
        <f t="shared" si="63"/>
        <v>225</v>
      </c>
      <c r="U335" s="8">
        <f t="shared" si="64"/>
        <v>0</v>
      </c>
    </row>
    <row r="336" spans="1:21" ht="15.75" hidden="1" customHeight="1">
      <c r="A336" s="136" t="str">
        <f t="shared" si="57"/>
        <v/>
      </c>
      <c r="B336" s="137" t="str">
        <f t="shared" si="58"/>
        <v/>
      </c>
      <c r="C336" s="135" t="str">
        <f t="shared" si="59"/>
        <v/>
      </c>
      <c r="D336" s="113"/>
      <c r="E336" s="92"/>
      <c r="F336" s="92"/>
      <c r="G336" s="92"/>
      <c r="H336" s="113"/>
      <c r="I336" s="80"/>
      <c r="J336" s="80"/>
      <c r="K336" s="83"/>
      <c r="L336" s="82"/>
      <c r="M336" s="113"/>
      <c r="N336" s="146"/>
      <c r="O336" s="113"/>
      <c r="P336" s="147"/>
      <c r="Q336" s="23"/>
      <c r="R336" s="23"/>
      <c r="S336" s="8">
        <f t="shared" si="63"/>
        <v>226</v>
      </c>
      <c r="U336" s="8">
        <f t="shared" si="64"/>
        <v>0</v>
      </c>
    </row>
    <row r="337" spans="1:21" ht="15.75" hidden="1" customHeight="1">
      <c r="A337" s="136" t="str">
        <f t="shared" si="57"/>
        <v/>
      </c>
      <c r="B337" s="137" t="str">
        <f t="shared" si="58"/>
        <v/>
      </c>
      <c r="C337" s="135" t="str">
        <f t="shared" si="59"/>
        <v/>
      </c>
      <c r="D337" s="113"/>
      <c r="E337" s="92"/>
      <c r="F337" s="92"/>
      <c r="G337" s="92"/>
      <c r="H337" s="113"/>
      <c r="I337" s="80"/>
      <c r="J337" s="80"/>
      <c r="K337" s="83"/>
      <c r="L337" s="82"/>
      <c r="M337" s="113"/>
      <c r="N337" s="146"/>
      <c r="O337" s="113"/>
      <c r="P337" s="147"/>
      <c r="Q337" s="23"/>
      <c r="R337" s="23"/>
      <c r="S337" s="8">
        <f t="shared" si="63"/>
        <v>227</v>
      </c>
      <c r="U337" s="8">
        <f t="shared" si="64"/>
        <v>0</v>
      </c>
    </row>
    <row r="338" spans="1:21" ht="15.75" hidden="1" customHeight="1">
      <c r="A338" s="136" t="str">
        <f t="shared" si="57"/>
        <v/>
      </c>
      <c r="B338" s="137" t="str">
        <f t="shared" si="58"/>
        <v/>
      </c>
      <c r="C338" s="135" t="str">
        <f t="shared" si="59"/>
        <v/>
      </c>
      <c r="D338" s="113"/>
      <c r="E338" s="92"/>
      <c r="F338" s="92"/>
      <c r="G338" s="92"/>
      <c r="H338" s="113"/>
      <c r="I338" s="80"/>
      <c r="J338" s="80"/>
      <c r="K338" s="83"/>
      <c r="L338" s="82"/>
      <c r="M338" s="113"/>
      <c r="N338" s="146"/>
      <c r="O338" s="113"/>
      <c r="P338" s="147"/>
      <c r="Q338" s="23"/>
      <c r="R338" s="23"/>
      <c r="S338" s="8">
        <f t="shared" si="63"/>
        <v>228</v>
      </c>
      <c r="U338" s="8">
        <f t="shared" si="64"/>
        <v>0</v>
      </c>
    </row>
    <row r="339" spans="1:21" ht="15.75" hidden="1" customHeight="1">
      <c r="A339" s="136" t="str">
        <f t="shared" si="57"/>
        <v/>
      </c>
      <c r="B339" s="137" t="str">
        <f t="shared" si="58"/>
        <v/>
      </c>
      <c r="C339" s="135" t="str">
        <f t="shared" si="59"/>
        <v/>
      </c>
      <c r="D339" s="113"/>
      <c r="E339" s="92"/>
      <c r="F339" s="92"/>
      <c r="G339" s="92"/>
      <c r="H339" s="113"/>
      <c r="I339" s="80"/>
      <c r="J339" s="80"/>
      <c r="K339" s="83"/>
      <c r="L339" s="82"/>
      <c r="M339" s="113"/>
      <c r="N339" s="146"/>
      <c r="O339" s="113"/>
      <c r="P339" s="147"/>
      <c r="Q339" s="23"/>
      <c r="R339" s="23"/>
      <c r="S339" s="8">
        <f t="shared" si="63"/>
        <v>229</v>
      </c>
      <c r="U339" s="8">
        <f t="shared" si="64"/>
        <v>0</v>
      </c>
    </row>
    <row r="340" spans="1:21" ht="15.75" hidden="1" customHeight="1">
      <c r="A340" s="136" t="str">
        <f t="shared" si="57"/>
        <v/>
      </c>
      <c r="B340" s="137" t="str">
        <f t="shared" si="58"/>
        <v/>
      </c>
      <c r="C340" s="135" t="str">
        <f t="shared" si="59"/>
        <v/>
      </c>
      <c r="D340" s="113"/>
      <c r="E340" s="92"/>
      <c r="F340" s="92"/>
      <c r="G340" s="92"/>
      <c r="H340" s="113"/>
      <c r="I340" s="80"/>
      <c r="J340" s="80"/>
      <c r="K340" s="83"/>
      <c r="L340" s="82"/>
      <c r="M340" s="113"/>
      <c r="N340" s="146"/>
      <c r="O340" s="113"/>
      <c r="P340" s="147"/>
      <c r="Q340" s="23"/>
      <c r="R340" s="23"/>
      <c r="S340" s="8">
        <f t="shared" si="63"/>
        <v>230</v>
      </c>
      <c r="U340" s="8">
        <f t="shared" si="64"/>
        <v>0</v>
      </c>
    </row>
    <row r="341" spans="1:21" ht="15.75" hidden="1" customHeight="1">
      <c r="A341" s="136" t="str">
        <f t="shared" si="57"/>
        <v/>
      </c>
      <c r="B341" s="137" t="str">
        <f t="shared" si="58"/>
        <v/>
      </c>
      <c r="C341" s="135" t="str">
        <f t="shared" si="59"/>
        <v/>
      </c>
      <c r="D341" s="113"/>
      <c r="E341" s="92"/>
      <c r="F341" s="92"/>
      <c r="G341" s="92"/>
      <c r="H341" s="113"/>
      <c r="I341" s="80"/>
      <c r="J341" s="80"/>
      <c r="K341" s="83"/>
      <c r="L341" s="82"/>
      <c r="M341" s="113"/>
      <c r="N341" s="146"/>
      <c r="O341" s="113"/>
      <c r="P341" s="147"/>
      <c r="Q341" s="23"/>
      <c r="R341" s="23"/>
      <c r="S341" s="8">
        <f t="shared" si="63"/>
        <v>231</v>
      </c>
      <c r="U341" s="8">
        <f t="shared" si="64"/>
        <v>0</v>
      </c>
    </row>
    <row r="342" spans="1:21" ht="15.75" hidden="1" customHeight="1">
      <c r="A342" s="136" t="str">
        <f t="shared" si="57"/>
        <v/>
      </c>
      <c r="B342" s="137" t="str">
        <f t="shared" si="58"/>
        <v/>
      </c>
      <c r="C342" s="135" t="str">
        <f t="shared" si="59"/>
        <v/>
      </c>
      <c r="D342" s="113"/>
      <c r="E342" s="92"/>
      <c r="F342" s="92"/>
      <c r="G342" s="92"/>
      <c r="H342" s="113"/>
      <c r="I342" s="80"/>
      <c r="J342" s="80"/>
      <c r="K342" s="83"/>
      <c r="L342" s="82"/>
      <c r="M342" s="113"/>
      <c r="N342" s="146"/>
      <c r="O342" s="113"/>
      <c r="P342" s="147"/>
      <c r="Q342" s="23"/>
      <c r="R342" s="23"/>
      <c r="S342" s="8">
        <f t="shared" si="63"/>
        <v>232</v>
      </c>
      <c r="U342" s="8">
        <f t="shared" si="64"/>
        <v>0</v>
      </c>
    </row>
    <row r="343" spans="1:21" ht="15.75" hidden="1" customHeight="1">
      <c r="A343" s="136" t="str">
        <f t="shared" si="57"/>
        <v/>
      </c>
      <c r="B343" s="137" t="str">
        <f t="shared" si="58"/>
        <v/>
      </c>
      <c r="C343" s="135" t="str">
        <f t="shared" si="59"/>
        <v/>
      </c>
      <c r="D343" s="113"/>
      <c r="E343" s="92"/>
      <c r="F343" s="92"/>
      <c r="G343" s="92"/>
      <c r="H343" s="113"/>
      <c r="I343" s="80"/>
      <c r="J343" s="80"/>
      <c r="K343" s="83"/>
      <c r="L343" s="82"/>
      <c r="M343" s="113"/>
      <c r="N343" s="146"/>
      <c r="O343" s="113"/>
      <c r="P343" s="147"/>
      <c r="Q343" s="23"/>
      <c r="R343" s="23"/>
      <c r="S343" s="8">
        <f t="shared" si="63"/>
        <v>233</v>
      </c>
      <c r="U343" s="8">
        <f t="shared" si="64"/>
        <v>0</v>
      </c>
    </row>
    <row r="344" spans="1:21" ht="15.75" hidden="1" customHeight="1">
      <c r="A344" s="136" t="str">
        <f t="shared" si="57"/>
        <v/>
      </c>
      <c r="B344" s="137" t="str">
        <f t="shared" si="58"/>
        <v/>
      </c>
      <c r="C344" s="135" t="str">
        <f t="shared" si="59"/>
        <v/>
      </c>
      <c r="D344" s="113"/>
      <c r="E344" s="92"/>
      <c r="F344" s="92"/>
      <c r="G344" s="92"/>
      <c r="H344" s="113"/>
      <c r="I344" s="80"/>
      <c r="J344" s="80"/>
      <c r="K344" s="83"/>
      <c r="L344" s="82"/>
      <c r="M344" s="113"/>
      <c r="N344" s="146"/>
      <c r="O344" s="113"/>
      <c r="P344" s="147"/>
      <c r="Q344" s="23"/>
      <c r="R344" s="23"/>
      <c r="S344" s="8">
        <f t="shared" si="63"/>
        <v>234</v>
      </c>
      <c r="U344" s="8">
        <f t="shared" si="64"/>
        <v>0</v>
      </c>
    </row>
    <row r="345" spans="1:21" ht="15.75" hidden="1" customHeight="1">
      <c r="A345" s="136" t="str">
        <f t="shared" si="57"/>
        <v/>
      </c>
      <c r="B345" s="137" t="str">
        <f t="shared" si="58"/>
        <v/>
      </c>
      <c r="C345" s="135" t="str">
        <f t="shared" si="59"/>
        <v/>
      </c>
      <c r="D345" s="113"/>
      <c r="E345" s="92"/>
      <c r="F345" s="92"/>
      <c r="G345" s="92"/>
      <c r="H345" s="113"/>
      <c r="I345" s="80"/>
      <c r="J345" s="80"/>
      <c r="K345" s="83"/>
      <c r="L345" s="82"/>
      <c r="M345" s="113"/>
      <c r="N345" s="146"/>
      <c r="O345" s="113"/>
      <c r="P345" s="147"/>
      <c r="Q345" s="23"/>
      <c r="R345" s="23"/>
      <c r="S345" s="8">
        <f t="shared" si="63"/>
        <v>235</v>
      </c>
      <c r="U345" s="8">
        <f t="shared" si="64"/>
        <v>0</v>
      </c>
    </row>
    <row r="346" spans="1:21" ht="15.75" hidden="1" customHeight="1">
      <c r="A346" s="136" t="str">
        <f t="shared" si="57"/>
        <v/>
      </c>
      <c r="B346" s="137" t="str">
        <f t="shared" si="58"/>
        <v/>
      </c>
      <c r="C346" s="135" t="str">
        <f t="shared" si="59"/>
        <v/>
      </c>
      <c r="D346" s="113"/>
      <c r="E346" s="92"/>
      <c r="F346" s="92"/>
      <c r="G346" s="92"/>
      <c r="H346" s="113"/>
      <c r="I346" s="80"/>
      <c r="J346" s="80"/>
      <c r="K346" s="83"/>
      <c r="L346" s="82"/>
      <c r="M346" s="113"/>
      <c r="N346" s="146"/>
      <c r="O346" s="113"/>
      <c r="P346" s="147"/>
      <c r="Q346" s="23"/>
      <c r="R346" s="23"/>
      <c r="S346" s="8">
        <f t="shared" si="63"/>
        <v>236</v>
      </c>
      <c r="U346" s="8">
        <f t="shared" si="64"/>
        <v>0</v>
      </c>
    </row>
    <row r="347" spans="1:21" ht="15.75" hidden="1" customHeight="1">
      <c r="A347" s="136" t="str">
        <f t="shared" si="57"/>
        <v/>
      </c>
      <c r="B347" s="137" t="str">
        <f t="shared" si="58"/>
        <v/>
      </c>
      <c r="C347" s="135" t="str">
        <f t="shared" si="59"/>
        <v/>
      </c>
      <c r="D347" s="113"/>
      <c r="E347" s="92"/>
      <c r="F347" s="92"/>
      <c r="G347" s="92"/>
      <c r="H347" s="113"/>
      <c r="I347" s="80"/>
      <c r="J347" s="80"/>
      <c r="K347" s="83"/>
      <c r="L347" s="82"/>
      <c r="M347" s="113"/>
      <c r="N347" s="146"/>
      <c r="O347" s="113"/>
      <c r="P347" s="147"/>
      <c r="Q347" s="23"/>
      <c r="R347" s="23"/>
      <c r="S347" s="8">
        <f t="shared" si="63"/>
        <v>237</v>
      </c>
      <c r="U347" s="8">
        <f t="shared" si="64"/>
        <v>0</v>
      </c>
    </row>
    <row r="348" spans="1:21" ht="15.75" hidden="1" customHeight="1">
      <c r="A348" s="136" t="str">
        <f t="shared" si="57"/>
        <v/>
      </c>
      <c r="B348" s="137" t="str">
        <f t="shared" si="58"/>
        <v/>
      </c>
      <c r="C348" s="135" t="str">
        <f t="shared" si="59"/>
        <v/>
      </c>
      <c r="D348" s="113"/>
      <c r="E348" s="92"/>
      <c r="F348" s="92"/>
      <c r="G348" s="92"/>
      <c r="H348" s="113"/>
      <c r="I348" s="80"/>
      <c r="J348" s="80"/>
      <c r="K348" s="83"/>
      <c r="L348" s="82"/>
      <c r="M348" s="113"/>
      <c r="N348" s="146"/>
      <c r="O348" s="113"/>
      <c r="P348" s="147"/>
      <c r="Q348" s="23"/>
      <c r="R348" s="23"/>
      <c r="S348" s="8">
        <f t="shared" si="63"/>
        <v>238</v>
      </c>
      <c r="U348" s="8">
        <f t="shared" si="64"/>
        <v>0</v>
      </c>
    </row>
    <row r="349" spans="1:21" ht="15.75" hidden="1" customHeight="1">
      <c r="A349" s="136" t="str">
        <f t="shared" si="57"/>
        <v/>
      </c>
      <c r="B349" s="137" t="str">
        <f t="shared" si="58"/>
        <v/>
      </c>
      <c r="C349" s="135" t="str">
        <f t="shared" si="59"/>
        <v/>
      </c>
      <c r="D349" s="113"/>
      <c r="E349" s="92"/>
      <c r="F349" s="92"/>
      <c r="G349" s="92"/>
      <c r="H349" s="113"/>
      <c r="I349" s="80"/>
      <c r="J349" s="80"/>
      <c r="K349" s="83"/>
      <c r="L349" s="82"/>
      <c r="M349" s="113"/>
      <c r="N349" s="146"/>
      <c r="O349" s="113"/>
      <c r="P349" s="147"/>
      <c r="Q349" s="23"/>
      <c r="R349" s="23"/>
      <c r="S349" s="8">
        <f t="shared" si="63"/>
        <v>239</v>
      </c>
      <c r="U349" s="8">
        <f t="shared" si="64"/>
        <v>0</v>
      </c>
    </row>
    <row r="350" spans="1:21" ht="15.75" hidden="1" customHeight="1">
      <c r="A350" s="136" t="str">
        <f t="shared" si="57"/>
        <v/>
      </c>
      <c r="B350" s="137" t="str">
        <f t="shared" si="58"/>
        <v/>
      </c>
      <c r="C350" s="135" t="str">
        <f t="shared" si="59"/>
        <v/>
      </c>
      <c r="D350" s="113"/>
      <c r="E350" s="92"/>
      <c r="F350" s="92"/>
      <c r="G350" s="92"/>
      <c r="H350" s="113"/>
      <c r="I350" s="80"/>
      <c r="J350" s="80"/>
      <c r="K350" s="83"/>
      <c r="L350" s="82"/>
      <c r="M350" s="113"/>
      <c r="N350" s="146"/>
      <c r="O350" s="113"/>
      <c r="P350" s="147"/>
      <c r="Q350" s="23"/>
      <c r="R350" s="23"/>
      <c r="S350" s="8">
        <f t="shared" si="63"/>
        <v>240</v>
      </c>
      <c r="U350" s="8">
        <f t="shared" si="64"/>
        <v>0</v>
      </c>
    </row>
    <row r="351" spans="1:21" ht="15.75" hidden="1" customHeight="1">
      <c r="A351" s="136" t="str">
        <f t="shared" si="57"/>
        <v/>
      </c>
      <c r="B351" s="137" t="str">
        <f t="shared" si="58"/>
        <v/>
      </c>
      <c r="C351" s="135" t="str">
        <f t="shared" si="59"/>
        <v/>
      </c>
      <c r="D351" s="113"/>
      <c r="E351" s="92"/>
      <c r="F351" s="92"/>
      <c r="G351" s="92"/>
      <c r="H351" s="113"/>
      <c r="I351" s="80"/>
      <c r="J351" s="80"/>
      <c r="K351" s="83"/>
      <c r="L351" s="82"/>
      <c r="M351" s="113"/>
      <c r="N351" s="146"/>
      <c r="O351" s="113"/>
      <c r="P351" s="147"/>
      <c r="Q351" s="23"/>
      <c r="R351" s="23"/>
      <c r="S351" s="8">
        <f t="shared" si="63"/>
        <v>241</v>
      </c>
      <c r="U351" s="8">
        <f t="shared" si="64"/>
        <v>0</v>
      </c>
    </row>
    <row r="352" spans="1:21" ht="15.75" hidden="1" customHeight="1">
      <c r="A352" s="136" t="str">
        <f t="shared" si="57"/>
        <v/>
      </c>
      <c r="B352" s="137" t="str">
        <f t="shared" si="58"/>
        <v/>
      </c>
      <c r="C352" s="135" t="str">
        <f t="shared" si="59"/>
        <v/>
      </c>
      <c r="D352" s="113"/>
      <c r="E352" s="92"/>
      <c r="F352" s="92"/>
      <c r="G352" s="92"/>
      <c r="H352" s="113"/>
      <c r="I352" s="80"/>
      <c r="J352" s="80"/>
      <c r="K352" s="83"/>
      <c r="L352" s="82"/>
      <c r="M352" s="113"/>
      <c r="N352" s="146"/>
      <c r="O352" s="113"/>
      <c r="P352" s="147"/>
      <c r="Q352" s="23"/>
      <c r="R352" s="23"/>
      <c r="S352" s="8">
        <f t="shared" si="63"/>
        <v>242</v>
      </c>
      <c r="U352" s="8">
        <f t="shared" si="64"/>
        <v>0</v>
      </c>
    </row>
    <row r="353" spans="1:21" ht="15.75" hidden="1" customHeight="1">
      <c r="A353" s="136" t="str">
        <f t="shared" si="57"/>
        <v/>
      </c>
      <c r="B353" s="137" t="str">
        <f t="shared" si="58"/>
        <v/>
      </c>
      <c r="C353" s="135" t="str">
        <f t="shared" si="59"/>
        <v/>
      </c>
      <c r="D353" s="113"/>
      <c r="E353" s="92"/>
      <c r="F353" s="92"/>
      <c r="G353" s="92"/>
      <c r="H353" s="113"/>
      <c r="I353" s="80"/>
      <c r="J353" s="80"/>
      <c r="K353" s="83"/>
      <c r="L353" s="82"/>
      <c r="M353" s="113"/>
      <c r="N353" s="146"/>
      <c r="O353" s="113"/>
      <c r="P353" s="147"/>
      <c r="Q353" s="23"/>
      <c r="R353" s="23"/>
      <c r="S353" s="8">
        <f t="shared" si="63"/>
        <v>243</v>
      </c>
      <c r="U353" s="8">
        <f t="shared" si="64"/>
        <v>0</v>
      </c>
    </row>
    <row r="354" spans="1:21" ht="15.75" hidden="1" customHeight="1">
      <c r="A354" s="136" t="str">
        <f t="shared" si="57"/>
        <v/>
      </c>
      <c r="B354" s="137" t="str">
        <f t="shared" si="58"/>
        <v/>
      </c>
      <c r="C354" s="135" t="str">
        <f t="shared" si="59"/>
        <v/>
      </c>
      <c r="D354" s="113"/>
      <c r="E354" s="92"/>
      <c r="F354" s="92"/>
      <c r="G354" s="92"/>
      <c r="H354" s="113"/>
      <c r="I354" s="80"/>
      <c r="J354" s="80"/>
      <c r="K354" s="83"/>
      <c r="L354" s="82"/>
      <c r="M354" s="113"/>
      <c r="N354" s="146"/>
      <c r="O354" s="113"/>
      <c r="P354" s="147"/>
      <c r="Q354" s="23"/>
      <c r="R354" s="23"/>
      <c r="S354" s="8">
        <f t="shared" si="63"/>
        <v>244</v>
      </c>
      <c r="U354" s="8">
        <f t="shared" si="64"/>
        <v>0</v>
      </c>
    </row>
    <row r="355" spans="1:21" ht="15.75" hidden="1" customHeight="1">
      <c r="A355" s="136" t="str">
        <f t="shared" si="57"/>
        <v/>
      </c>
      <c r="B355" s="137" t="str">
        <f t="shared" si="58"/>
        <v/>
      </c>
      <c r="C355" s="135" t="str">
        <f t="shared" si="59"/>
        <v/>
      </c>
      <c r="D355" s="113"/>
      <c r="E355" s="92"/>
      <c r="F355" s="92"/>
      <c r="G355" s="92"/>
      <c r="H355" s="113"/>
      <c r="I355" s="80"/>
      <c r="J355" s="80"/>
      <c r="K355" s="83"/>
      <c r="L355" s="82"/>
      <c r="M355" s="113"/>
      <c r="N355" s="146"/>
      <c r="O355" s="113"/>
      <c r="P355" s="147"/>
      <c r="Q355" s="23"/>
      <c r="R355" s="23"/>
      <c r="S355" s="8">
        <f t="shared" si="63"/>
        <v>245</v>
      </c>
      <c r="U355" s="8">
        <f t="shared" si="64"/>
        <v>0</v>
      </c>
    </row>
    <row r="356" spans="1:21" ht="15.75" hidden="1" customHeight="1">
      <c r="A356" s="136" t="str">
        <f t="shared" si="57"/>
        <v/>
      </c>
      <c r="B356" s="137" t="str">
        <f t="shared" si="58"/>
        <v/>
      </c>
      <c r="C356" s="135" t="str">
        <f t="shared" si="59"/>
        <v/>
      </c>
      <c r="D356" s="113"/>
      <c r="E356" s="92"/>
      <c r="F356" s="92"/>
      <c r="G356" s="92"/>
      <c r="H356" s="113"/>
      <c r="I356" s="80"/>
      <c r="J356" s="80"/>
      <c r="K356" s="83"/>
      <c r="L356" s="82"/>
      <c r="M356" s="113"/>
      <c r="N356" s="146"/>
      <c r="O356" s="113"/>
      <c r="P356" s="147"/>
      <c r="Q356" s="23"/>
      <c r="R356" s="23"/>
      <c r="S356" s="8">
        <f t="shared" si="63"/>
        <v>246</v>
      </c>
      <c r="U356" s="8">
        <f t="shared" si="64"/>
        <v>0</v>
      </c>
    </row>
    <row r="357" spans="1:21" ht="15.75" hidden="1" customHeight="1">
      <c r="A357" s="136" t="str">
        <f t="shared" si="57"/>
        <v/>
      </c>
      <c r="B357" s="137" t="str">
        <f t="shared" si="58"/>
        <v/>
      </c>
      <c r="C357" s="135" t="str">
        <f t="shared" si="59"/>
        <v/>
      </c>
      <c r="D357" s="113"/>
      <c r="E357" s="92"/>
      <c r="F357" s="92"/>
      <c r="G357" s="92"/>
      <c r="H357" s="113"/>
      <c r="I357" s="80"/>
      <c r="J357" s="80"/>
      <c r="K357" s="83"/>
      <c r="L357" s="82"/>
      <c r="M357" s="113"/>
      <c r="N357" s="146"/>
      <c r="O357" s="113"/>
      <c r="P357" s="147"/>
      <c r="Q357" s="23"/>
      <c r="R357" s="23"/>
      <c r="S357" s="8">
        <f t="shared" si="63"/>
        <v>247</v>
      </c>
      <c r="U357" s="8">
        <f t="shared" si="64"/>
        <v>0</v>
      </c>
    </row>
    <row r="358" spans="1:21" ht="15.75" hidden="1" customHeight="1">
      <c r="A358" s="136" t="str">
        <f t="shared" si="57"/>
        <v/>
      </c>
      <c r="B358" s="137" t="str">
        <f t="shared" si="58"/>
        <v/>
      </c>
      <c r="C358" s="135" t="str">
        <f t="shared" si="59"/>
        <v/>
      </c>
      <c r="D358" s="113"/>
      <c r="E358" s="92"/>
      <c r="F358" s="92"/>
      <c r="G358" s="92"/>
      <c r="H358" s="113"/>
      <c r="I358" s="80"/>
      <c r="J358" s="80"/>
      <c r="K358" s="83"/>
      <c r="L358" s="82"/>
      <c r="M358" s="113"/>
      <c r="N358" s="146"/>
      <c r="O358" s="113"/>
      <c r="P358" s="147"/>
      <c r="Q358" s="23"/>
      <c r="R358" s="23"/>
      <c r="S358" s="8">
        <f t="shared" si="63"/>
        <v>248</v>
      </c>
      <c r="U358" s="8">
        <f t="shared" si="64"/>
        <v>0</v>
      </c>
    </row>
    <row r="359" spans="1:21" ht="15.75" hidden="1" customHeight="1">
      <c r="A359" s="136" t="str">
        <f t="shared" si="57"/>
        <v/>
      </c>
      <c r="B359" s="137" t="str">
        <f t="shared" si="58"/>
        <v/>
      </c>
      <c r="C359" s="135" t="str">
        <f t="shared" si="59"/>
        <v/>
      </c>
      <c r="D359" s="113"/>
      <c r="E359" s="92"/>
      <c r="F359" s="92"/>
      <c r="G359" s="92"/>
      <c r="H359" s="113"/>
      <c r="I359" s="80"/>
      <c r="J359" s="80"/>
      <c r="K359" s="83"/>
      <c r="L359" s="82"/>
      <c r="M359" s="113"/>
      <c r="N359" s="146"/>
      <c r="O359" s="113"/>
      <c r="P359" s="147"/>
      <c r="Q359" s="23"/>
      <c r="R359" s="23"/>
      <c r="S359" s="8">
        <f t="shared" si="63"/>
        <v>249</v>
      </c>
      <c r="U359" s="8">
        <f t="shared" si="64"/>
        <v>0</v>
      </c>
    </row>
    <row r="360" spans="1:21" ht="15.75" hidden="1" customHeight="1">
      <c r="A360" s="136" t="str">
        <f t="shared" si="57"/>
        <v/>
      </c>
      <c r="B360" s="137" t="str">
        <f t="shared" si="58"/>
        <v/>
      </c>
      <c r="C360" s="135" t="str">
        <f t="shared" si="59"/>
        <v/>
      </c>
      <c r="D360" s="113"/>
      <c r="E360" s="92"/>
      <c r="F360" s="92"/>
      <c r="G360" s="92"/>
      <c r="H360" s="113"/>
      <c r="I360" s="80"/>
      <c r="J360" s="80"/>
      <c r="K360" s="83"/>
      <c r="L360" s="82"/>
      <c r="M360" s="113"/>
      <c r="N360" s="146"/>
      <c r="O360" s="113"/>
      <c r="P360" s="147"/>
      <c r="Q360" s="23"/>
      <c r="R360" s="23"/>
      <c r="S360" s="8">
        <f t="shared" si="63"/>
        <v>250</v>
      </c>
      <c r="U360" s="8">
        <f t="shared" si="64"/>
        <v>0</v>
      </c>
    </row>
    <row r="361" spans="1:21" ht="15.75" hidden="1" customHeight="1" thickBot="1">
      <c r="A361" s="136" t="str">
        <f t="shared" si="57"/>
        <v/>
      </c>
      <c r="B361" s="137" t="str">
        <f t="shared" si="58"/>
        <v/>
      </c>
      <c r="C361" s="135" t="str">
        <f t="shared" si="59"/>
        <v/>
      </c>
      <c r="D361" s="113"/>
      <c r="E361" s="92"/>
      <c r="F361" s="92"/>
      <c r="G361" s="92"/>
      <c r="H361" s="113"/>
      <c r="I361" s="80"/>
      <c r="J361" s="80"/>
      <c r="K361" s="83"/>
      <c r="L361" s="82"/>
      <c r="M361" s="113"/>
      <c r="N361" s="146"/>
      <c r="O361" s="113"/>
      <c r="P361" s="147"/>
      <c r="Q361" s="23"/>
      <c r="R361" s="23"/>
      <c r="S361" s="8">
        <f t="shared" si="63"/>
        <v>251</v>
      </c>
      <c r="U361" s="8">
        <f t="shared" si="64"/>
        <v>0</v>
      </c>
    </row>
    <row r="362" spans="1:21" s="27" customFormat="1" ht="21" customHeight="1" thickTop="1" thickBot="1">
      <c r="A362" s="117" t="s">
        <v>29</v>
      </c>
      <c r="B362" s="13" t="s">
        <v>30</v>
      </c>
      <c r="C362" s="144">
        <f>SUM(C110:C361)-IF(ParamIncludePrimeChanges=0,0,SUM(CalcPrimeChangeNonCO))</f>
        <v>553499</v>
      </c>
      <c r="D362" s="115"/>
      <c r="E362" s="66">
        <f>SUM(E110:E361)</f>
        <v>467642</v>
      </c>
      <c r="F362" s="66">
        <f>SUM(F110:F361)</f>
        <v>790</v>
      </c>
      <c r="G362" s="66">
        <f>+E362+F362</f>
        <v>468432</v>
      </c>
      <c r="H362" s="116"/>
      <c r="I362" s="66">
        <f>SUM(I110:I361)</f>
        <v>189793.41999999998</v>
      </c>
      <c r="J362" s="66">
        <f>SUM(J110:J361)</f>
        <v>278638.58</v>
      </c>
      <c r="K362" s="66">
        <f>SUM(K110:K361)</f>
        <v>32000</v>
      </c>
      <c r="L362" s="66">
        <f>SUM(L110:L361)</f>
        <v>500134.33</v>
      </c>
      <c r="M362" s="116"/>
      <c r="N362" s="66">
        <f>SUM(N110:N361)</f>
        <v>-31702.330000000005</v>
      </c>
      <c r="O362" s="115"/>
      <c r="P362" s="66">
        <f>SUM(P110:P361)</f>
        <v>53364.670000000013</v>
      </c>
      <c r="Q362" s="26"/>
      <c r="R362" s="26"/>
    </row>
    <row r="363" spans="1:21">
      <c r="A363" s="118"/>
      <c r="B363" s="119"/>
      <c r="C363" s="120"/>
      <c r="D363" s="35"/>
      <c r="E363" s="14"/>
      <c r="F363" s="93"/>
      <c r="G363" s="10"/>
      <c r="H363" s="10"/>
      <c r="I363" s="37"/>
      <c r="J363" s="37"/>
      <c r="K363" s="37"/>
      <c r="L363" s="37"/>
      <c r="M363" s="10"/>
      <c r="N363" s="10"/>
      <c r="O363" s="10"/>
      <c r="P363" s="15"/>
      <c r="Q363" s="23"/>
      <c r="R363" s="23"/>
    </row>
    <row r="364" spans="1:21">
      <c r="A364" s="121"/>
      <c r="B364" s="35" t="s">
        <v>62</v>
      </c>
      <c r="C364" s="122">
        <f>+C362</f>
        <v>553499</v>
      </c>
      <c r="D364" s="16"/>
      <c r="E364" s="16"/>
      <c r="F364" s="93"/>
      <c r="G364" s="10"/>
      <c r="H364" s="10"/>
      <c r="I364" s="37"/>
      <c r="J364" s="37"/>
      <c r="K364" s="37"/>
      <c r="L364" s="37"/>
      <c r="M364" s="10"/>
      <c r="N364" s="10"/>
      <c r="O364" s="10"/>
      <c r="P364" s="15"/>
      <c r="Q364" s="23"/>
      <c r="R364" s="23"/>
    </row>
    <row r="365" spans="1:21">
      <c r="A365" s="121"/>
      <c r="B365" s="35" t="str">
        <f>"Gross Profit at " &amp; TEXT(INDEX(AccountingPeriods,INDEX(JobData,2,1),2),"mm/dd/yyyy")</f>
        <v>Gross Profit at 06/30/2008</v>
      </c>
      <c r="C365" s="122">
        <f>+P362</f>
        <v>53364.670000000013</v>
      </c>
      <c r="F365" s="93"/>
      <c r="G365" s="10"/>
      <c r="H365" s="10"/>
      <c r="I365" s="38"/>
      <c r="J365" s="38"/>
      <c r="K365" s="37"/>
      <c r="L365" s="37"/>
      <c r="M365" s="10"/>
      <c r="N365" s="10"/>
      <c r="O365" s="10"/>
      <c r="P365" s="15"/>
      <c r="Q365" s="23"/>
      <c r="R365" s="23"/>
    </row>
    <row r="366" spans="1:21">
      <c r="A366" s="121"/>
      <c r="B366" s="35"/>
      <c r="C366" s="123"/>
      <c r="F366" s="93"/>
      <c r="G366" s="10"/>
      <c r="H366" s="10"/>
      <c r="I366" s="37"/>
      <c r="J366" s="37"/>
      <c r="K366" s="37"/>
      <c r="L366" s="37"/>
      <c r="M366" s="10"/>
      <c r="N366" s="10"/>
      <c r="O366" s="10"/>
      <c r="P366" s="15"/>
      <c r="Q366" s="23"/>
      <c r="R366" s="23"/>
    </row>
    <row r="367" spans="1:21" ht="16.5" thickBot="1">
      <c r="A367" s="124"/>
      <c r="B367" s="125" t="s">
        <v>63</v>
      </c>
      <c r="C367" s="126">
        <f>+IF(C365&lt;&gt;0,C365/C364,0)</f>
        <v>9.6413308786465757E-2</v>
      </c>
      <c r="F367" s="94"/>
      <c r="G367" s="10"/>
      <c r="H367" s="10"/>
      <c r="I367" s="10"/>
      <c r="J367" s="10"/>
      <c r="K367" s="10"/>
      <c r="L367" s="10"/>
      <c r="M367" s="10"/>
      <c r="P367" s="15"/>
      <c r="Q367" s="23"/>
      <c r="R367" s="23"/>
    </row>
    <row r="368" spans="1:21" ht="26.25" customHeight="1" thickBot="1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9"/>
      <c r="Q368" s="23"/>
      <c r="R368" s="23"/>
    </row>
    <row r="369" spans="1:18" ht="18.75">
      <c r="A369" s="132"/>
      <c r="B369" s="127" t="s">
        <v>31</v>
      </c>
      <c r="C369" s="128"/>
      <c r="D369" s="17"/>
      <c r="E369" s="17"/>
      <c r="F369" s="17"/>
      <c r="G369" s="17"/>
      <c r="H369" s="18"/>
      <c r="I369" s="18"/>
      <c r="J369" s="18"/>
      <c r="K369" s="18"/>
      <c r="L369" s="18"/>
      <c r="M369" s="18"/>
      <c r="N369" s="18"/>
      <c r="O369" s="18"/>
      <c r="P369" s="19"/>
      <c r="Q369" s="23"/>
      <c r="R369" s="23"/>
    </row>
    <row r="370" spans="1:18">
      <c r="A370" s="129"/>
      <c r="B370" s="35" t="s">
        <v>32</v>
      </c>
      <c r="C370" s="122">
        <f>+C110</f>
        <v>553499</v>
      </c>
      <c r="D370" s="16"/>
      <c r="E370" s="16"/>
      <c r="F370" s="44"/>
      <c r="G370" s="18"/>
      <c r="H370" s="18"/>
      <c r="I370" s="18"/>
      <c r="J370" s="18"/>
      <c r="K370" s="18"/>
      <c r="L370" s="18"/>
      <c r="M370" s="18"/>
      <c r="N370" s="18"/>
      <c r="O370" s="18"/>
      <c r="P370" s="19"/>
      <c r="Q370" s="23"/>
      <c r="R370" s="23"/>
    </row>
    <row r="371" spans="1:18">
      <c r="A371" s="129"/>
      <c r="B371" s="35" t="s">
        <v>33</v>
      </c>
      <c r="C371" s="130">
        <f>+E110</f>
        <v>467642</v>
      </c>
      <c r="D371" s="16"/>
      <c r="E371" s="16"/>
      <c r="F371" s="44"/>
      <c r="G371" s="18"/>
      <c r="H371" s="18"/>
      <c r="I371" s="18"/>
      <c r="J371" s="18"/>
      <c r="K371" s="18"/>
      <c r="L371" s="18"/>
      <c r="M371" s="18"/>
      <c r="N371" s="18"/>
      <c r="O371" s="18"/>
      <c r="P371" s="19"/>
      <c r="Q371" s="23"/>
      <c r="R371" s="23"/>
    </row>
    <row r="372" spans="1:18">
      <c r="A372" s="129"/>
      <c r="B372" s="35" t="s">
        <v>64</v>
      </c>
      <c r="C372" s="130">
        <f>+C370-C371</f>
        <v>85857</v>
      </c>
      <c r="D372" s="16"/>
      <c r="E372" s="16"/>
      <c r="F372" s="44"/>
      <c r="G372" s="18"/>
      <c r="H372" s="18"/>
      <c r="I372" s="18"/>
      <c r="J372" s="18"/>
      <c r="K372" s="18"/>
      <c r="L372" s="18"/>
      <c r="M372" s="18"/>
      <c r="N372" s="18"/>
      <c r="O372" s="18"/>
      <c r="P372" s="19"/>
      <c r="Q372" s="23"/>
      <c r="R372" s="23"/>
    </row>
    <row r="373" spans="1:18" ht="16.5" thickBot="1">
      <c r="A373" s="131"/>
      <c r="B373" s="125" t="s">
        <v>65</v>
      </c>
      <c r="C373" s="126">
        <f>+IF(C372&lt;&gt;0,C372/C370,0)</f>
        <v>0.15511681141248673</v>
      </c>
      <c r="D373" s="16"/>
      <c r="E373" s="16"/>
      <c r="F373" s="45"/>
      <c r="G373" s="18"/>
      <c r="H373" s="18"/>
      <c r="I373" s="18"/>
      <c r="J373" s="18"/>
      <c r="K373" s="18"/>
      <c r="L373" s="18"/>
      <c r="M373" s="18"/>
      <c r="N373" s="18"/>
      <c r="O373" s="18"/>
      <c r="P373" s="19"/>
      <c r="Q373" s="23"/>
      <c r="R373" s="23"/>
    </row>
    <row r="374" spans="1:18">
      <c r="A374" s="17"/>
      <c r="B374" s="16"/>
      <c r="C374" s="16"/>
      <c r="D374" s="16"/>
      <c r="E374" s="16"/>
      <c r="F374" s="44"/>
      <c r="G374" s="18"/>
      <c r="H374" s="18"/>
      <c r="I374" s="18"/>
      <c r="J374" s="18"/>
      <c r="K374" s="18"/>
      <c r="L374" s="18"/>
      <c r="M374" s="18"/>
      <c r="N374" s="18"/>
      <c r="O374" s="18"/>
      <c r="P374" s="19"/>
      <c r="Q374" s="23"/>
      <c r="R374" s="23"/>
    </row>
    <row r="375" spans="1:18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9"/>
      <c r="Q375" s="23"/>
      <c r="R375" s="23"/>
    </row>
    <row r="376" spans="1:18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9"/>
      <c r="Q376" s="23"/>
      <c r="R376" s="23"/>
    </row>
    <row r="377" spans="1:18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9"/>
      <c r="Q377" s="23"/>
      <c r="R377" s="23"/>
    </row>
    <row r="378" spans="1:18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9"/>
      <c r="Q378" s="23"/>
      <c r="R378" s="23"/>
    </row>
    <row r="379" spans="1:18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9"/>
      <c r="Q379" s="23"/>
      <c r="R379" s="23"/>
    </row>
    <row r="380" spans="1:18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9"/>
      <c r="Q380" s="23"/>
      <c r="R380" s="23"/>
    </row>
    <row r="381" spans="1:18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20"/>
    </row>
    <row r="382" spans="1:18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20"/>
    </row>
    <row r="383" spans="1:18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20"/>
    </row>
    <row r="384" spans="1:18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20"/>
    </row>
    <row r="385" spans="1:16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20"/>
    </row>
    <row r="386" spans="1:16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20"/>
    </row>
    <row r="387" spans="1:16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20"/>
    </row>
    <row r="388" spans="1:16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20"/>
    </row>
    <row r="389" spans="1:16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20"/>
    </row>
    <row r="390" spans="1:16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20"/>
    </row>
    <row r="391" spans="1:16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20"/>
    </row>
    <row r="392" spans="1:16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20"/>
    </row>
    <row r="393" spans="1:16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20"/>
    </row>
    <row r="394" spans="1:16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20"/>
    </row>
    <row r="395" spans="1:16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20"/>
    </row>
    <row r="396" spans="1:16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20"/>
    </row>
    <row r="397" spans="1:16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20"/>
    </row>
    <row r="398" spans="1:16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20"/>
    </row>
    <row r="399" spans="1:16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20"/>
    </row>
    <row r="400" spans="1:16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20"/>
    </row>
    <row r="401" spans="1:16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20"/>
    </row>
    <row r="402" spans="1:16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20"/>
    </row>
    <row r="403" spans="1:16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20"/>
    </row>
    <row r="404" spans="1:16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20"/>
    </row>
    <row r="405" spans="1:16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20"/>
    </row>
    <row r="406" spans="1:16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20"/>
    </row>
    <row r="407" spans="1:16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</row>
    <row r="408" spans="1:16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6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</row>
    <row r="410" spans="1:16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</row>
    <row r="411" spans="1:16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6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</row>
    <row r="413" spans="1:16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</row>
    <row r="414" spans="1:16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6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</row>
    <row r="416" spans="1:16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</row>
    <row r="417" spans="1:1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</row>
    <row r="419" spans="1:1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</row>
    <row r="420" spans="1:1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</row>
    <row r="422" spans="1:1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</row>
    <row r="423" spans="1:1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</row>
    <row r="425" spans="1:1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</row>
    <row r="426" spans="1:1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</row>
    <row r="428" spans="1:1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</row>
    <row r="429" spans="1:1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</row>
    <row r="431" spans="1:1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</row>
    <row r="432" spans="1:1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</row>
    <row r="434" spans="1:1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</row>
    <row r="435" spans="1:1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</row>
    <row r="437" spans="1:1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</row>
    <row r="438" spans="1:1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</row>
    <row r="440" spans="1:1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</row>
    <row r="441" spans="1:1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</row>
    <row r="443" spans="1:1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</row>
    <row r="444" spans="1:1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</row>
    <row r="446" spans="1:1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</row>
    <row r="447" spans="1:1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</row>
    <row r="463" spans="17:23">
      <c r="Q463" s="28"/>
      <c r="T463" s="28"/>
      <c r="W463" s="28"/>
    </row>
    <row r="527" spans="17:23">
      <c r="Q527" s="28"/>
      <c r="T527" s="28"/>
      <c r="W527" s="28"/>
    </row>
    <row r="591" spans="17:23">
      <c r="Q591" s="28"/>
      <c r="T591" s="28"/>
      <c r="W591" s="28"/>
    </row>
    <row r="655" spans="17:23">
      <c r="Q655" s="28"/>
      <c r="T655" s="28"/>
      <c r="W655" s="28"/>
    </row>
    <row r="719" spans="17:23">
      <c r="Q719" s="28"/>
      <c r="T719" s="28"/>
      <c r="W719" s="28"/>
    </row>
    <row r="783" spans="17:23">
      <c r="Q783" s="28"/>
      <c r="T783" s="28"/>
      <c r="W783" s="28"/>
    </row>
    <row r="847" spans="17:23">
      <c r="Q847" s="28"/>
      <c r="T847" s="28"/>
      <c r="W847" s="28"/>
    </row>
    <row r="911" spans="17:23">
      <c r="Q911" s="28"/>
      <c r="T911" s="28"/>
      <c r="W911" s="28"/>
    </row>
    <row r="975" spans="17:23">
      <c r="Q975" s="28"/>
      <c r="T975" s="28"/>
      <c r="W975" s="28"/>
    </row>
    <row r="1039" spans="17:23">
      <c r="Q1039" s="28"/>
      <c r="T1039" s="28"/>
      <c r="W1039" s="28"/>
    </row>
    <row r="1103" spans="17:23">
      <c r="Q1103" s="28"/>
      <c r="T1103" s="28"/>
      <c r="W1103" s="28"/>
    </row>
    <row r="1167" spans="17:23">
      <c r="Q1167" s="28"/>
      <c r="T1167" s="28"/>
      <c r="W1167" s="28"/>
    </row>
    <row r="1231" spans="17:23">
      <c r="Q1231" s="28"/>
      <c r="T1231" s="28"/>
      <c r="W1231" s="28"/>
    </row>
    <row r="1295" spans="17:23">
      <c r="Q1295" s="28"/>
      <c r="T1295" s="28"/>
      <c r="W1295" s="28"/>
    </row>
    <row r="1359" spans="17:23">
      <c r="Q1359" s="28"/>
      <c r="T1359" s="28"/>
      <c r="W1359" s="28"/>
    </row>
    <row r="1423" spans="17:23">
      <c r="Q1423" s="28"/>
      <c r="T1423" s="28"/>
      <c r="W1423" s="28"/>
    </row>
    <row r="1487" spans="17:23">
      <c r="Q1487" s="28"/>
      <c r="T1487" s="28"/>
      <c r="W1487" s="28"/>
    </row>
    <row r="1551" spans="17:23">
      <c r="Q1551" s="28"/>
      <c r="T1551" s="28"/>
      <c r="W1551" s="28"/>
    </row>
    <row r="1615" spans="17:23">
      <c r="Q1615" s="28"/>
      <c r="T1615" s="28"/>
      <c r="W1615" s="28"/>
    </row>
    <row r="1679" spans="17:23">
      <c r="Q1679" s="28"/>
      <c r="T1679" s="28"/>
      <c r="W1679" s="28"/>
    </row>
    <row r="1743" spans="17:23">
      <c r="Q1743" s="28"/>
      <c r="T1743" s="28"/>
      <c r="W1743" s="28"/>
    </row>
    <row r="1807" spans="17:23">
      <c r="Q1807" s="28"/>
      <c r="T1807" s="28"/>
      <c r="W1807" s="28"/>
    </row>
    <row r="1871" spans="17:23">
      <c r="Q1871" s="28"/>
      <c r="T1871" s="28"/>
      <c r="W1871" s="28"/>
    </row>
    <row r="1935" spans="17:23">
      <c r="Q1935" s="28"/>
      <c r="T1935" s="28"/>
      <c r="W1935" s="28"/>
    </row>
    <row r="1999" spans="17:23">
      <c r="Q1999" s="28"/>
      <c r="T1999" s="28"/>
      <c r="W1999" s="28"/>
    </row>
    <row r="2063" spans="17:23">
      <c r="Q2063" s="28"/>
      <c r="T2063" s="28"/>
      <c r="W2063" s="28"/>
    </row>
    <row r="2127" spans="17:23">
      <c r="Q2127" s="28"/>
      <c r="T2127" s="28"/>
      <c r="W2127" s="28"/>
    </row>
    <row r="2191" spans="17:23">
      <c r="Q2191" s="28"/>
      <c r="T2191" s="28"/>
      <c r="W2191" s="28"/>
    </row>
    <row r="2255" spans="17:23">
      <c r="Q2255" s="28"/>
      <c r="T2255" s="28"/>
      <c r="W2255" s="28"/>
    </row>
    <row r="2319" spans="17:23">
      <c r="Q2319" s="28"/>
      <c r="T2319" s="28"/>
      <c r="W2319" s="28"/>
    </row>
    <row r="2383" spans="17:23">
      <c r="Q2383" s="28"/>
      <c r="T2383" s="28"/>
      <c r="W2383" s="28"/>
    </row>
    <row r="2447" spans="17:23">
      <c r="Q2447" s="28"/>
      <c r="T2447" s="28"/>
      <c r="W2447" s="28"/>
    </row>
    <row r="2511" spans="17:23">
      <c r="Q2511" s="28"/>
      <c r="T2511" s="28"/>
      <c r="W2511" s="28"/>
    </row>
    <row r="2575" spans="17:23">
      <c r="Q2575" s="28"/>
      <c r="T2575" s="28"/>
      <c r="W2575" s="28"/>
    </row>
    <row r="2639" spans="17:23">
      <c r="Q2639" s="28"/>
      <c r="T2639" s="28"/>
      <c r="W2639" s="28"/>
    </row>
    <row r="2703" spans="17:23">
      <c r="Q2703" s="28"/>
      <c r="T2703" s="28"/>
      <c r="W2703" s="28"/>
    </row>
    <row r="2767" spans="17:23">
      <c r="Q2767" s="28"/>
      <c r="T2767" s="28"/>
      <c r="W2767" s="28"/>
    </row>
    <row r="2831" spans="17:23">
      <c r="Q2831" s="28"/>
      <c r="T2831" s="28"/>
      <c r="W2831" s="28"/>
    </row>
    <row r="2895" spans="17:23">
      <c r="Q2895" s="28"/>
      <c r="T2895" s="28"/>
      <c r="W2895" s="28"/>
    </row>
    <row r="2959" spans="17:23">
      <c r="Q2959" s="28"/>
      <c r="T2959" s="28"/>
      <c r="W2959" s="28"/>
    </row>
    <row r="3023" spans="17:23">
      <c r="Q3023" s="28"/>
      <c r="T3023" s="28"/>
      <c r="W3023" s="28"/>
    </row>
    <row r="3087" spans="17:23">
      <c r="Q3087" s="28"/>
      <c r="T3087" s="28"/>
      <c r="W3087" s="28"/>
    </row>
    <row r="3151" spans="17:23">
      <c r="Q3151" s="28"/>
      <c r="T3151" s="28"/>
      <c r="W3151" s="28"/>
    </row>
    <row r="3215" spans="17:23">
      <c r="Q3215" s="28"/>
      <c r="T3215" s="28"/>
      <c r="W3215" s="28"/>
    </row>
    <row r="3279" spans="17:23">
      <c r="Q3279" s="28"/>
      <c r="T3279" s="28"/>
      <c r="W3279" s="28"/>
    </row>
    <row r="3343" spans="17:23">
      <c r="Q3343" s="28"/>
      <c r="T3343" s="28"/>
      <c r="W3343" s="28"/>
    </row>
    <row r="3407" spans="17:23">
      <c r="Q3407" s="28"/>
      <c r="T3407" s="28"/>
      <c r="W3407" s="28"/>
    </row>
    <row r="3471" spans="17:23">
      <c r="Q3471" s="28"/>
      <c r="T3471" s="28"/>
      <c r="W3471" s="28"/>
    </row>
    <row r="3535" spans="17:23">
      <c r="Q3535" s="28"/>
      <c r="T3535" s="28"/>
      <c r="W3535" s="28"/>
    </row>
    <row r="3599" spans="17:23">
      <c r="Q3599" s="28"/>
      <c r="T3599" s="28"/>
      <c r="W3599" s="28"/>
    </row>
    <row r="3663" spans="17:23">
      <c r="Q3663" s="28"/>
      <c r="T3663" s="28"/>
      <c r="W3663" s="28"/>
    </row>
    <row r="3727" spans="17:23">
      <c r="Q3727" s="28"/>
      <c r="T3727" s="28"/>
      <c r="W3727" s="28"/>
    </row>
    <row r="3791" spans="17:23">
      <c r="Q3791" s="28"/>
      <c r="T3791" s="28"/>
      <c r="W3791" s="28"/>
    </row>
    <row r="3855" spans="17:23">
      <c r="Q3855" s="28"/>
      <c r="T3855" s="28"/>
      <c r="W3855" s="28"/>
    </row>
    <row r="3919" spans="17:23">
      <c r="Q3919" s="28"/>
      <c r="T3919" s="28"/>
      <c r="W3919" s="28"/>
    </row>
    <row r="3983" spans="17:23">
      <c r="Q3983" s="28"/>
      <c r="T3983" s="28"/>
      <c r="W3983" s="28"/>
    </row>
    <row r="4047" spans="17:23">
      <c r="Q4047" s="28"/>
      <c r="T4047" s="28"/>
      <c r="W4047" s="28"/>
    </row>
    <row r="4111" spans="17:23">
      <c r="Q4111" s="28"/>
      <c r="T4111" s="28"/>
      <c r="W4111" s="28"/>
    </row>
    <row r="4175" spans="17:23">
      <c r="Q4175" s="28"/>
      <c r="T4175" s="28"/>
      <c r="W4175" s="28"/>
    </row>
    <row r="4239" spans="17:23">
      <c r="Q4239" s="28"/>
      <c r="T4239" s="28"/>
      <c r="W4239" s="28"/>
    </row>
    <row r="4303" spans="17:23">
      <c r="Q4303" s="28"/>
      <c r="T4303" s="28"/>
      <c r="W4303" s="28"/>
    </row>
    <row r="4367" spans="17:23">
      <c r="Q4367" s="28"/>
      <c r="T4367" s="28"/>
      <c r="W4367" s="28"/>
    </row>
    <row r="4431" spans="17:23">
      <c r="Q4431" s="28"/>
      <c r="T4431" s="28"/>
      <c r="W4431" s="28"/>
    </row>
    <row r="4495" spans="17:23">
      <c r="Q4495" s="28"/>
      <c r="T4495" s="28"/>
      <c r="W4495" s="28"/>
    </row>
    <row r="4559" spans="17:23">
      <c r="Q4559" s="28"/>
      <c r="T4559" s="28"/>
      <c r="W4559" s="28"/>
    </row>
    <row r="4623" spans="17:23">
      <c r="Q4623" s="28"/>
      <c r="T4623" s="28"/>
      <c r="W4623" s="28"/>
    </row>
    <row r="4687" spans="17:23">
      <c r="Q4687" s="28"/>
      <c r="T4687" s="28"/>
      <c r="W4687" s="28"/>
    </row>
    <row r="4751" spans="17:23">
      <c r="Q4751" s="28"/>
      <c r="T4751" s="28"/>
      <c r="W4751" s="28"/>
    </row>
    <row r="4815" spans="17:23">
      <c r="Q4815" s="28"/>
      <c r="T4815" s="28"/>
      <c r="W4815" s="28"/>
    </row>
    <row r="4879" spans="17:23">
      <c r="Q4879" s="28"/>
      <c r="T4879" s="28"/>
      <c r="W4879" s="28"/>
    </row>
    <row r="4943" spans="17:23">
      <c r="Q4943" s="28"/>
      <c r="T4943" s="28"/>
      <c r="W4943" s="28"/>
    </row>
    <row r="5007" spans="17:23">
      <c r="Q5007" s="28"/>
      <c r="T5007" s="28"/>
      <c r="W5007" s="28"/>
    </row>
    <row r="5071" spans="17:23">
      <c r="Q5071" s="28"/>
      <c r="T5071" s="28"/>
      <c r="W5071" s="28"/>
    </row>
    <row r="5135" spans="17:23">
      <c r="Q5135" s="28"/>
      <c r="T5135" s="28"/>
      <c r="W5135" s="28"/>
    </row>
    <row r="5199" spans="17:23">
      <c r="Q5199" s="28"/>
      <c r="T5199" s="28"/>
      <c r="W5199" s="28"/>
    </row>
    <row r="5263" spans="17:23">
      <c r="Q5263" s="28"/>
      <c r="T5263" s="28"/>
      <c r="W5263" s="28"/>
    </row>
    <row r="5327" spans="17:23">
      <c r="Q5327" s="28"/>
      <c r="T5327" s="28"/>
      <c r="W5327" s="28"/>
    </row>
    <row r="5391" spans="17:23">
      <c r="Q5391" s="28"/>
      <c r="T5391" s="28"/>
      <c r="W5391" s="28"/>
    </row>
    <row r="5455" spans="17:23">
      <c r="Q5455" s="28"/>
      <c r="T5455" s="28"/>
      <c r="W5455" s="28"/>
    </row>
    <row r="5519" spans="17:23">
      <c r="Q5519" s="28"/>
      <c r="T5519" s="28"/>
      <c r="W5519" s="28"/>
    </row>
    <row r="5583" spans="17:23">
      <c r="Q5583" s="28"/>
      <c r="T5583" s="28"/>
      <c r="W5583" s="28"/>
    </row>
    <row r="5647" spans="17:23">
      <c r="Q5647" s="28"/>
      <c r="T5647" s="28"/>
      <c r="W5647" s="28"/>
    </row>
    <row r="5711" spans="17:23">
      <c r="Q5711" s="28"/>
      <c r="T5711" s="28"/>
      <c r="W5711" s="28"/>
    </row>
    <row r="5775" spans="17:23">
      <c r="Q5775" s="28"/>
      <c r="T5775" s="28"/>
      <c r="W5775" s="28"/>
    </row>
    <row r="5839" spans="17:23">
      <c r="Q5839" s="28"/>
      <c r="T5839" s="28"/>
      <c r="W5839" s="28"/>
    </row>
    <row r="5903" spans="17:23">
      <c r="Q5903" s="28"/>
      <c r="T5903" s="28"/>
      <c r="W5903" s="28"/>
    </row>
    <row r="5967" spans="17:23">
      <c r="Q5967" s="28"/>
      <c r="T5967" s="28"/>
      <c r="W5967" s="28"/>
    </row>
    <row r="6031" spans="17:23">
      <c r="Q6031" s="28"/>
      <c r="T6031" s="28"/>
      <c r="W6031" s="28"/>
    </row>
    <row r="6095" spans="17:23">
      <c r="Q6095" s="28"/>
      <c r="T6095" s="28"/>
      <c r="W6095" s="28"/>
    </row>
    <row r="6159" spans="17:23">
      <c r="Q6159" s="28"/>
      <c r="T6159" s="28"/>
      <c r="W6159" s="28"/>
    </row>
    <row r="6223" spans="17:23">
      <c r="Q6223" s="28"/>
      <c r="T6223" s="28"/>
      <c r="W6223" s="28"/>
    </row>
    <row r="6287" spans="17:23">
      <c r="Q6287" s="28"/>
      <c r="T6287" s="28"/>
      <c r="W6287" s="28"/>
    </row>
    <row r="6351" spans="17:23">
      <c r="Q6351" s="28"/>
      <c r="T6351" s="28"/>
      <c r="W6351" s="28"/>
    </row>
    <row r="6415" spans="17:23">
      <c r="Q6415" s="28"/>
      <c r="T6415" s="28"/>
      <c r="W6415" s="28"/>
    </row>
    <row r="6479" spans="17:23">
      <c r="Q6479" s="28"/>
      <c r="T6479" s="28"/>
      <c r="W6479" s="28"/>
    </row>
    <row r="6543" spans="17:23">
      <c r="Q6543" s="28"/>
      <c r="T6543" s="28"/>
      <c r="W6543" s="28"/>
    </row>
    <row r="6607" spans="17:23">
      <c r="Q6607" s="28"/>
      <c r="T6607" s="28"/>
      <c r="W6607" s="28"/>
    </row>
    <row r="6671" spans="17:23">
      <c r="Q6671" s="28"/>
      <c r="T6671" s="28"/>
      <c r="W6671" s="28"/>
    </row>
    <row r="6735" spans="17:23">
      <c r="Q6735" s="28"/>
      <c r="T6735" s="28"/>
      <c r="W6735" s="28"/>
    </row>
    <row r="6799" spans="17:23">
      <c r="Q6799" s="28"/>
      <c r="T6799" s="28"/>
      <c r="W6799" s="28"/>
    </row>
    <row r="6863" spans="17:23">
      <c r="Q6863" s="28"/>
      <c r="T6863" s="28"/>
      <c r="W6863" s="28"/>
    </row>
    <row r="6927" spans="17:23">
      <c r="Q6927" s="28"/>
      <c r="T6927" s="28"/>
      <c r="W6927" s="28"/>
    </row>
    <row r="6991" spans="17:23">
      <c r="Q6991" s="28"/>
      <c r="T6991" s="28"/>
      <c r="W6991" s="28"/>
    </row>
    <row r="7055" spans="17:23">
      <c r="Q7055" s="28"/>
      <c r="T7055" s="28"/>
      <c r="W7055" s="28"/>
    </row>
    <row r="7119" spans="17:23">
      <c r="Q7119" s="28"/>
      <c r="T7119" s="28"/>
      <c r="W7119" s="28"/>
    </row>
    <row r="7183" spans="17:23">
      <c r="Q7183" s="28"/>
      <c r="T7183" s="28"/>
      <c r="W7183" s="28"/>
    </row>
    <row r="7247" spans="17:23">
      <c r="Q7247" s="28"/>
      <c r="T7247" s="28"/>
      <c r="W7247" s="28"/>
    </row>
    <row r="7311" spans="17:23">
      <c r="Q7311" s="28"/>
      <c r="T7311" s="28"/>
      <c r="W7311" s="28"/>
    </row>
    <row r="7375" spans="17:23">
      <c r="Q7375" s="28"/>
      <c r="T7375" s="28"/>
      <c r="W7375" s="28"/>
    </row>
    <row r="7439" spans="17:23">
      <c r="Q7439" s="28"/>
      <c r="T7439" s="28"/>
      <c r="W7439" s="28"/>
    </row>
    <row r="7503" spans="17:23">
      <c r="Q7503" s="28"/>
      <c r="T7503" s="28"/>
      <c r="W7503" s="28"/>
    </row>
    <row r="7567" spans="17:23">
      <c r="Q7567" s="28"/>
      <c r="T7567" s="28"/>
      <c r="W7567" s="28"/>
    </row>
    <row r="7631" spans="17:23">
      <c r="Q7631" s="28"/>
      <c r="T7631" s="28"/>
      <c r="W7631" s="28"/>
    </row>
    <row r="7695" spans="17:23">
      <c r="Q7695" s="28"/>
      <c r="T7695" s="28"/>
      <c r="W7695" s="28"/>
    </row>
    <row r="7759" spans="17:23">
      <c r="Q7759" s="28"/>
      <c r="T7759" s="28"/>
      <c r="W7759" s="28"/>
    </row>
    <row r="7823" spans="17:23">
      <c r="Q7823" s="28"/>
      <c r="T7823" s="28"/>
      <c r="W7823" s="28"/>
    </row>
    <row r="7887" spans="17:23">
      <c r="Q7887" s="28"/>
      <c r="T7887" s="28"/>
      <c r="W7887" s="28"/>
    </row>
    <row r="7951" spans="17:23">
      <c r="Q7951" s="28"/>
      <c r="T7951" s="28"/>
      <c r="W7951" s="28"/>
    </row>
    <row r="8015" spans="17:23">
      <c r="Q8015" s="28"/>
      <c r="T8015" s="28"/>
      <c r="W8015" s="28"/>
    </row>
    <row r="8079" spans="17:23">
      <c r="Q8079" s="28"/>
      <c r="T8079" s="28"/>
      <c r="W8079" s="28"/>
    </row>
    <row r="8143" spans="17:23">
      <c r="Q8143" s="28"/>
      <c r="T8143" s="28"/>
      <c r="W8143" s="28"/>
    </row>
    <row r="8207" spans="17:23">
      <c r="Q8207" s="28"/>
      <c r="T8207" s="28"/>
      <c r="W8207" s="28"/>
    </row>
    <row r="8271" spans="17:23">
      <c r="Q8271" s="28"/>
      <c r="T8271" s="28"/>
      <c r="W8271" s="28"/>
    </row>
  </sheetData>
  <sheetProtection password="DD89" sheet="1" objects="1" scenarios="1" formatCells="0" formatColumns="0" formatRows="0" sort="0" autoFilter="0"/>
  <autoFilter ref="A9:C362">
    <filterColumn colId="0">
      <customFilters>
        <customFilter operator="notEqual" val=" "/>
      </customFilters>
    </filterColumn>
  </autoFilter>
  <mergeCells count="1">
    <mergeCell ref="B1:P1"/>
  </mergeCells>
  <phoneticPr fontId="0" type="noConversion"/>
  <pageMargins left="0.217" right="0.25" top="0.35" bottom="0.35" header="0.5" footer="0.5"/>
  <pageSetup scale="49" orientation="landscape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K262"/>
  <sheetViews>
    <sheetView topLeftCell="R1" workbookViewId="0">
      <pane ySplit="1" topLeftCell="A2" activePane="bottomLeft" state="frozen"/>
      <selection pane="bottomLeft" activeCell="AT1" sqref="AT1:BB2"/>
    </sheetView>
  </sheetViews>
  <sheetFormatPr defaultRowHeight="15"/>
  <cols>
    <col min="1" max="1" width="29.44140625" customWidth="1"/>
    <col min="2" max="2" width="19.5546875" customWidth="1"/>
    <col min="3" max="4" width="15.44140625" customWidth="1"/>
    <col min="5" max="5" width="19.5546875" customWidth="1"/>
    <col min="6" max="6" width="17.44140625" customWidth="1"/>
    <col min="7" max="7" width="15.44140625" customWidth="1"/>
    <col min="8" max="9" width="16.33203125" customWidth="1"/>
    <col min="10" max="10" width="14.33203125" customWidth="1"/>
    <col min="11" max="11" width="14" customWidth="1"/>
    <col min="12" max="12" width="13.44140625" customWidth="1"/>
    <col min="13" max="13" width="15.109375" customWidth="1"/>
    <col min="14" max="15" width="14.33203125" customWidth="1"/>
    <col min="16" max="16" width="16.21875" customWidth="1"/>
    <col min="20" max="21" width="13.33203125" customWidth="1"/>
    <col min="22" max="22" width="18.5546875" customWidth="1"/>
    <col min="23" max="23" width="11.5546875" customWidth="1"/>
    <col min="24" max="24" width="15" customWidth="1"/>
    <col min="30" max="30" width="13.21875" customWidth="1"/>
    <col min="31" max="31" width="13.109375" customWidth="1"/>
    <col min="33" max="33" width="11.44140625" hidden="1" customWidth="1"/>
    <col min="34" max="34" width="10.77734375" hidden="1" customWidth="1"/>
    <col min="35" max="35" width="9.44140625" hidden="1" customWidth="1"/>
    <col min="36" max="42" width="8.88671875" hidden="1" customWidth="1"/>
    <col min="43" max="43" width="9" hidden="1" customWidth="1"/>
    <col min="44" max="61" width="8.88671875" hidden="1" customWidth="1"/>
    <col min="62" max="62" width="0" hidden="1" customWidth="1"/>
  </cols>
  <sheetData>
    <row r="1" spans="1:63" ht="47.25">
      <c r="A1" s="84" t="s">
        <v>0</v>
      </c>
      <c r="B1" s="84" t="s">
        <v>1</v>
      </c>
      <c r="C1" s="84" t="s">
        <v>2</v>
      </c>
      <c r="D1" s="84" t="s">
        <v>3</v>
      </c>
      <c r="E1" s="84" t="s">
        <v>4</v>
      </c>
      <c r="F1" s="84" t="s">
        <v>5</v>
      </c>
      <c r="G1" s="84" t="s">
        <v>6</v>
      </c>
      <c r="H1" s="84" t="s">
        <v>7</v>
      </c>
      <c r="I1" s="84" t="s">
        <v>8</v>
      </c>
      <c r="J1" s="84" t="s">
        <v>8</v>
      </c>
      <c r="K1" s="84" t="s">
        <v>9</v>
      </c>
      <c r="L1" s="84" t="s">
        <v>10</v>
      </c>
      <c r="M1" s="84" t="s">
        <v>11</v>
      </c>
      <c r="N1" s="84" t="s">
        <v>12</v>
      </c>
      <c r="O1" s="84" t="s">
        <v>13</v>
      </c>
      <c r="P1" s="84" t="s">
        <v>14</v>
      </c>
      <c r="Q1" s="84" t="s">
        <v>66</v>
      </c>
      <c r="R1" s="84" t="s">
        <v>67</v>
      </c>
      <c r="S1" s="84" t="s">
        <v>8</v>
      </c>
      <c r="T1" s="84" t="s">
        <v>15</v>
      </c>
      <c r="U1" s="84" t="s">
        <v>16</v>
      </c>
      <c r="V1" s="84" t="s">
        <v>17</v>
      </c>
      <c r="W1" s="84" t="s">
        <v>18</v>
      </c>
      <c r="X1" s="84" t="s">
        <v>19</v>
      </c>
      <c r="Y1" s="84" t="s">
        <v>8</v>
      </c>
      <c r="Z1" s="84" t="s">
        <v>8</v>
      </c>
      <c r="AA1" s="84"/>
      <c r="AB1" s="84" t="s">
        <v>73</v>
      </c>
      <c r="AC1" s="4"/>
      <c r="AD1" s="3" t="s">
        <v>20</v>
      </c>
      <c r="AE1" s="3" t="s">
        <v>21</v>
      </c>
      <c r="AG1" s="3" t="s">
        <v>22</v>
      </c>
      <c r="AH1" s="3" t="s">
        <v>40</v>
      </c>
      <c r="AI1" s="3" t="s">
        <v>43</v>
      </c>
      <c r="AJ1" s="4" t="str">
        <f>+A1</f>
        <v>Cost Code</v>
      </c>
      <c r="AK1" s="4" t="str">
        <f>+B1</f>
        <v>Cost Code Name</v>
      </c>
      <c r="AL1" s="4" t="str">
        <f>+C1</f>
        <v>Budget</v>
      </c>
      <c r="AM1" s="4" t="str">
        <f>+D1</f>
        <v>Holds</v>
      </c>
      <c r="AN1" s="4" t="str">
        <f>+E1</f>
        <v>Budget Changes</v>
      </c>
      <c r="AO1" s="4" t="str">
        <f>+F1</f>
        <v>Proposal</v>
      </c>
      <c r="AP1" s="4" t="str">
        <f>+G1</f>
        <v>Prime Changes</v>
      </c>
      <c r="AQ1" s="4" t="str">
        <f>+H1</f>
        <v>Costs to Date</v>
      </c>
      <c r="AR1" s="4" t="str">
        <f>+I1</f>
        <v>UNUSED</v>
      </c>
      <c r="AS1" s="4" t="str">
        <f>+J1</f>
        <v>UNUSED</v>
      </c>
      <c r="AT1" s="4" t="str">
        <f>+K1</f>
        <v>Accounting Period</v>
      </c>
      <c r="AU1" s="4" t="str">
        <f>+L1</f>
        <v>Job Number</v>
      </c>
      <c r="AV1" s="4" t="str">
        <f>+M1</f>
        <v>Job Name</v>
      </c>
      <c r="AW1" s="4" t="str">
        <f>+N1</f>
        <v>Job Address</v>
      </c>
      <c r="AX1" s="4" t="str">
        <f>+O1</f>
        <v>Project Manager</v>
      </c>
      <c r="AY1" s="4" t="str">
        <f>+P1</f>
        <v>Bid Date</v>
      </c>
      <c r="AZ1" s="4" t="str">
        <f>+Q1</f>
        <v>Phase Number</v>
      </c>
      <c r="BA1" s="4" t="str">
        <f>+R1</f>
        <v>Phase Name</v>
      </c>
      <c r="BB1" s="4" t="str">
        <f>+S1</f>
        <v>UNUSED</v>
      </c>
      <c r="BC1" s="4" t="str">
        <f>+T1</f>
        <v>Change Order Number</v>
      </c>
      <c r="BD1" s="4" t="str">
        <f>+U1</f>
        <v>Change Date</v>
      </c>
      <c r="BE1" s="4" t="str">
        <f>+V1</f>
        <v>Description</v>
      </c>
      <c r="BF1" s="4" t="str">
        <f>+W1</f>
        <v>Approved Change $</v>
      </c>
      <c r="BG1" s="4" t="str">
        <f>+X1</f>
        <v>Change Budget $</v>
      </c>
      <c r="BH1" s="4" t="str">
        <f>+Y1</f>
        <v>UNUSED</v>
      </c>
      <c r="BI1" s="4" t="str">
        <f>+Z1</f>
        <v>UNUSED</v>
      </c>
      <c r="BK1" t="s">
        <v>71</v>
      </c>
    </row>
    <row r="2" spans="1:63">
      <c r="A2" s="85" t="s">
        <v>74</v>
      </c>
      <c r="B2" s="85" t="s">
        <v>75</v>
      </c>
      <c r="C2" s="85" t="s">
        <v>76</v>
      </c>
      <c r="D2" s="85"/>
      <c r="E2" s="85" t="s">
        <v>77</v>
      </c>
      <c r="F2" s="85" t="s">
        <v>78</v>
      </c>
      <c r="G2" s="85" t="s">
        <v>77</v>
      </c>
      <c r="H2" s="85" t="s">
        <v>79</v>
      </c>
      <c r="I2" s="85" t="s">
        <v>77</v>
      </c>
      <c r="J2" s="85" t="s">
        <v>77</v>
      </c>
      <c r="K2" s="85" t="s">
        <v>80</v>
      </c>
      <c r="L2" s="85" t="s">
        <v>81</v>
      </c>
      <c r="M2" s="85" t="s">
        <v>82</v>
      </c>
      <c r="N2" s="85" t="s">
        <v>83</v>
      </c>
      <c r="O2" s="85" t="s">
        <v>84</v>
      </c>
      <c r="P2" s="86">
        <v>40739</v>
      </c>
      <c r="Q2" s="85"/>
      <c r="R2" s="85"/>
      <c r="S2" s="85"/>
      <c r="T2" s="87" t="s">
        <v>85</v>
      </c>
      <c r="U2" s="85" t="s">
        <v>86</v>
      </c>
      <c r="V2" s="85" t="s">
        <v>87</v>
      </c>
      <c r="W2" s="85" t="s">
        <v>77</v>
      </c>
      <c r="X2" s="85" t="s">
        <v>88</v>
      </c>
      <c r="Y2" s="85"/>
      <c r="Z2" s="85"/>
      <c r="AA2" s="85"/>
      <c r="AB2" s="85" t="s">
        <v>72</v>
      </c>
      <c r="AD2" s="5">
        <v>1</v>
      </c>
      <c r="AE2" s="6">
        <f>+DATE(ParamCurrentYear,AD2,31)</f>
        <v>39478</v>
      </c>
      <c r="AG2" s="89">
        <f t="shared" ref="AG2:AG33" si="0">+IF(AJ2=ParamCOCostCode,AQ2,0)</f>
        <v>0</v>
      </c>
      <c r="AH2" s="89">
        <f t="shared" ref="AH2:AH33" si="1">+IF(AJ2=ParamCOCostCode,AL2+AN2,0)</f>
        <v>0</v>
      </c>
      <c r="AI2" s="89">
        <f t="shared" ref="AI2:AI33" si="2">IF(AJ2=ParamCOCostCode,0,AP2)</f>
        <v>0</v>
      </c>
      <c r="AJ2">
        <f>+VALUE(A2)</f>
        <v>1000</v>
      </c>
      <c r="AK2" t="str">
        <f>+B2</f>
        <v>GENERAL REQUIREMENTS</v>
      </c>
      <c r="AL2">
        <f>+VALUE(C2)</f>
        <v>69942</v>
      </c>
      <c r="AM2">
        <f>+VALUE(D2)</f>
        <v>0</v>
      </c>
      <c r="AN2">
        <f>+VALUE(E2)</f>
        <v>0</v>
      </c>
      <c r="AO2">
        <f>+VALUE(F2)</f>
        <v>82252</v>
      </c>
      <c r="AP2">
        <f>+VALUE(G2)</f>
        <v>0</v>
      </c>
      <c r="AQ2">
        <f>+VALUE(H2)</f>
        <v>17224.91</v>
      </c>
      <c r="AR2">
        <f>+VALUE(I2)</f>
        <v>0</v>
      </c>
      <c r="AS2">
        <f>+VALUE(J2)</f>
        <v>0</v>
      </c>
      <c r="AT2">
        <f>+VALUE(K2)</f>
        <v>6</v>
      </c>
      <c r="AU2">
        <f>+VALUE(L2)</f>
        <v>186</v>
      </c>
      <c r="AV2" t="str">
        <f>+M2</f>
        <v>Williams Post Office</v>
      </c>
      <c r="AW2" t="str">
        <f>+N2</f>
        <v>19420 Williams Rd., Monte Rio, CA</v>
      </c>
      <c r="AX2">
        <v>0</v>
      </c>
      <c r="AY2" s="6">
        <f>+P2</f>
        <v>40739</v>
      </c>
      <c r="AZ2">
        <f>+Q2</f>
        <v>0</v>
      </c>
      <c r="BA2">
        <f>+R2</f>
        <v>0</v>
      </c>
      <c r="BB2">
        <f>+S2</f>
        <v>0</v>
      </c>
      <c r="BC2" t="str">
        <f>+IF(LEN(T2)&gt;0,T2,"")</f>
        <v>1</v>
      </c>
      <c r="BD2" t="str">
        <f>+U2</f>
        <v>4/20/2011</v>
      </c>
      <c r="BE2" t="str">
        <f>+V2</f>
        <v>Stucco on Saturdays</v>
      </c>
      <c r="BF2">
        <f>+VALUE(W2)</f>
        <v>0</v>
      </c>
      <c r="BG2">
        <f>+VALUE(X2)</f>
        <v>790</v>
      </c>
      <c r="BH2">
        <f>+VALUE(Y2)</f>
        <v>0</v>
      </c>
      <c r="BI2">
        <f>+VALUE(Z2)</f>
        <v>0</v>
      </c>
      <c r="BK2" t="s">
        <v>72</v>
      </c>
    </row>
    <row r="3" spans="1:63">
      <c r="A3" s="85" t="s">
        <v>89</v>
      </c>
      <c r="B3" s="85" t="s">
        <v>90</v>
      </c>
      <c r="C3" s="85" t="s">
        <v>91</v>
      </c>
      <c r="D3" s="85"/>
      <c r="E3" s="85" t="s">
        <v>77</v>
      </c>
      <c r="F3" s="85" t="s">
        <v>92</v>
      </c>
      <c r="G3" s="85" t="s">
        <v>77</v>
      </c>
      <c r="H3" s="85" t="s">
        <v>77</v>
      </c>
      <c r="I3" s="85" t="s">
        <v>77</v>
      </c>
      <c r="J3" s="85" t="s">
        <v>77</v>
      </c>
      <c r="K3" s="2" t="s">
        <v>23</v>
      </c>
      <c r="L3" s="2" t="s">
        <v>23</v>
      </c>
      <c r="M3" s="2" t="s">
        <v>23</v>
      </c>
      <c r="N3" s="2" t="s">
        <v>23</v>
      </c>
      <c r="O3" s="2" t="s">
        <v>23</v>
      </c>
      <c r="P3" s="2" t="s">
        <v>23</v>
      </c>
      <c r="Q3" s="2" t="s">
        <v>23</v>
      </c>
      <c r="R3" s="2" t="s">
        <v>23</v>
      </c>
      <c r="S3" s="2" t="s">
        <v>23</v>
      </c>
      <c r="T3" s="88" t="s">
        <v>93</v>
      </c>
      <c r="U3" s="85" t="s">
        <v>94</v>
      </c>
      <c r="V3" s="85" t="s">
        <v>95</v>
      </c>
      <c r="W3" s="85" t="s">
        <v>77</v>
      </c>
      <c r="X3" s="85" t="s">
        <v>77</v>
      </c>
      <c r="Y3" s="85"/>
      <c r="Z3" s="85"/>
      <c r="AA3" s="85"/>
      <c r="AB3" s="85"/>
      <c r="AD3" s="5">
        <v>2</v>
      </c>
      <c r="AE3" s="6">
        <f>+DATE(ParamCurrentYear,AD3,28)</f>
        <v>39506</v>
      </c>
      <c r="AG3" s="89">
        <f t="shared" si="0"/>
        <v>0</v>
      </c>
      <c r="AH3" s="89">
        <f t="shared" si="1"/>
        <v>0</v>
      </c>
      <c r="AI3" s="89">
        <f t="shared" si="2"/>
        <v>0</v>
      </c>
      <c r="AJ3">
        <f>+VALUE(A3)</f>
        <v>1020</v>
      </c>
      <c r="AK3" t="str">
        <f>+B3</f>
        <v>Contingency</v>
      </c>
      <c r="AL3">
        <f>+VALUE(C3)</f>
        <v>3500</v>
      </c>
      <c r="AM3">
        <f>+VALUE(D3)</f>
        <v>0</v>
      </c>
      <c r="AN3">
        <f>+VALUE(E3)</f>
        <v>0</v>
      </c>
      <c r="AO3">
        <f>+VALUE(F3)</f>
        <v>4116</v>
      </c>
      <c r="AP3">
        <f>+VALUE(G3)</f>
        <v>0</v>
      </c>
      <c r="AQ3">
        <f>+VALUE(H3)</f>
        <v>0</v>
      </c>
      <c r="AR3">
        <f>+VALUE(I3)</f>
        <v>0</v>
      </c>
      <c r="AS3">
        <f>+VALUE(J3)</f>
        <v>0</v>
      </c>
      <c r="AT3" s="2" t="s">
        <v>23</v>
      </c>
      <c r="AU3" s="2" t="s">
        <v>23</v>
      </c>
      <c r="AV3" s="2" t="s">
        <v>23</v>
      </c>
      <c r="AW3" s="2" t="s">
        <v>23</v>
      </c>
      <c r="AX3" s="2" t="s">
        <v>23</v>
      </c>
      <c r="AY3" s="2" t="s">
        <v>23</v>
      </c>
      <c r="AZ3" s="2" t="s">
        <v>23</v>
      </c>
      <c r="BA3" s="2" t="s">
        <v>23</v>
      </c>
      <c r="BB3" s="2" t="s">
        <v>23</v>
      </c>
      <c r="BC3" t="str">
        <f>+IF(LEN(T3)&gt;0,T3,"")</f>
        <v>101</v>
      </c>
      <c r="BD3" t="str">
        <f>+U3</f>
        <v>6/8/2011</v>
      </c>
      <c r="BE3" t="str">
        <f>+V3</f>
        <v>Punch: Tile Repair</v>
      </c>
      <c r="BF3">
        <f>+VALUE(W3)</f>
        <v>0</v>
      </c>
      <c r="BG3">
        <f>+VALUE(X3)</f>
        <v>0</v>
      </c>
      <c r="BH3">
        <f>+VALUE(Y3)</f>
        <v>0</v>
      </c>
      <c r="BI3">
        <f>+VALUE(Z3)</f>
        <v>0</v>
      </c>
    </row>
    <row r="4" spans="1:63">
      <c r="A4" s="85" t="s">
        <v>96</v>
      </c>
      <c r="B4" s="85" t="s">
        <v>97</v>
      </c>
      <c r="C4" s="85" t="s">
        <v>98</v>
      </c>
      <c r="D4" s="85"/>
      <c r="E4" s="85" t="s">
        <v>77</v>
      </c>
      <c r="F4" s="85" t="s">
        <v>98</v>
      </c>
      <c r="G4" s="85" t="s">
        <v>77</v>
      </c>
      <c r="H4" s="85" t="s">
        <v>77</v>
      </c>
      <c r="I4" s="85" t="s">
        <v>77</v>
      </c>
      <c r="J4" s="85" t="s">
        <v>77</v>
      </c>
      <c r="T4" s="88"/>
      <c r="U4" s="85"/>
      <c r="V4" s="85"/>
      <c r="W4" s="85"/>
      <c r="X4" s="85"/>
      <c r="Y4" s="85"/>
      <c r="Z4" s="85"/>
      <c r="AA4" s="85"/>
      <c r="AB4" s="85"/>
      <c r="AD4" s="5">
        <v>3</v>
      </c>
      <c r="AE4" s="6">
        <f>+DATE(ParamCurrentYear,AD4,31)</f>
        <v>39538</v>
      </c>
      <c r="AG4" s="89">
        <f t="shared" si="0"/>
        <v>0</v>
      </c>
      <c r="AH4" s="89">
        <f t="shared" si="1"/>
        <v>0</v>
      </c>
      <c r="AI4" s="89">
        <f t="shared" si="2"/>
        <v>0</v>
      </c>
      <c r="AJ4">
        <f>+VALUE(A4)</f>
        <v>1310</v>
      </c>
      <c r="AK4" t="str">
        <f>+B4</f>
        <v>Permits</v>
      </c>
      <c r="AL4">
        <f>+VALUE(C4)</f>
        <v>10311</v>
      </c>
      <c r="AM4">
        <f>+VALUE(D4)</f>
        <v>0</v>
      </c>
      <c r="AN4">
        <f>+VALUE(E4)</f>
        <v>0</v>
      </c>
      <c r="AO4">
        <f>+VALUE(F4)</f>
        <v>10311</v>
      </c>
      <c r="AP4">
        <f>+VALUE(G4)</f>
        <v>0</v>
      </c>
      <c r="AQ4">
        <f>+VALUE(H4)</f>
        <v>0</v>
      </c>
      <c r="AR4">
        <f>+VALUE(I4)</f>
        <v>0</v>
      </c>
      <c r="AS4">
        <f>+VALUE(J4)</f>
        <v>0</v>
      </c>
      <c r="BC4" t="str">
        <f>+IF(LEN(T4)&gt;0,T4,"")</f>
        <v/>
      </c>
      <c r="BD4">
        <f>+U4</f>
        <v>0</v>
      </c>
      <c r="BE4">
        <f>+V4</f>
        <v>0</v>
      </c>
      <c r="BF4">
        <f>+VALUE(W4)</f>
        <v>0</v>
      </c>
      <c r="BG4">
        <f>+VALUE(X4)</f>
        <v>0</v>
      </c>
      <c r="BH4">
        <f>+VALUE(Y4)</f>
        <v>0</v>
      </c>
      <c r="BI4">
        <f>+VALUE(Z4)</f>
        <v>0</v>
      </c>
    </row>
    <row r="5" spans="1:63">
      <c r="A5" s="85" t="s">
        <v>99</v>
      </c>
      <c r="B5" s="85" t="s">
        <v>100</v>
      </c>
      <c r="C5" s="85" t="s">
        <v>101</v>
      </c>
      <c r="D5" s="85"/>
      <c r="E5" s="85" t="s">
        <v>77</v>
      </c>
      <c r="F5" s="85" t="s">
        <v>102</v>
      </c>
      <c r="G5" s="85" t="s">
        <v>77</v>
      </c>
      <c r="H5" s="85" t="s">
        <v>103</v>
      </c>
      <c r="I5" s="85" t="s">
        <v>77</v>
      </c>
      <c r="J5" s="85" t="s">
        <v>77</v>
      </c>
      <c r="T5" s="85"/>
      <c r="U5" s="85"/>
      <c r="V5" s="85"/>
      <c r="W5" s="85"/>
      <c r="X5" s="85"/>
      <c r="Y5" s="85"/>
      <c r="Z5" s="85"/>
      <c r="AA5" s="85"/>
      <c r="AB5" s="85"/>
      <c r="AD5" s="5">
        <v>4</v>
      </c>
      <c r="AE5" s="6">
        <f>+DATE(ParamCurrentYear,AD5,30)</f>
        <v>39568</v>
      </c>
      <c r="AG5" s="89">
        <f t="shared" si="0"/>
        <v>0</v>
      </c>
      <c r="AH5" s="89">
        <f t="shared" si="1"/>
        <v>0</v>
      </c>
      <c r="AI5" s="89">
        <f t="shared" si="2"/>
        <v>0</v>
      </c>
      <c r="AJ5">
        <f>+VALUE(A5)</f>
        <v>1510</v>
      </c>
      <c r="AK5" t="str">
        <f>+B5</f>
        <v>Temp. Utilities</v>
      </c>
      <c r="AL5">
        <f>+VALUE(C5)</f>
        <v>796</v>
      </c>
      <c r="AM5">
        <f>+VALUE(D5)</f>
        <v>0</v>
      </c>
      <c r="AN5">
        <f>+VALUE(E5)</f>
        <v>0</v>
      </c>
      <c r="AO5">
        <f>+VALUE(F5)</f>
        <v>936</v>
      </c>
      <c r="AP5">
        <f>+VALUE(G5)</f>
        <v>0</v>
      </c>
      <c r="AQ5">
        <f>+VALUE(H5)</f>
        <v>154.27000000000001</v>
      </c>
      <c r="AR5">
        <f>+VALUE(I5)</f>
        <v>0</v>
      </c>
      <c r="AS5">
        <f>+VALUE(J5)</f>
        <v>0</v>
      </c>
      <c r="BC5" t="str">
        <f>+IF(LEN(T5)&gt;0,T5,"")</f>
        <v/>
      </c>
      <c r="BD5">
        <f>+U5</f>
        <v>0</v>
      </c>
      <c r="BE5">
        <f>+V5</f>
        <v>0</v>
      </c>
      <c r="BF5">
        <f>+VALUE(W5)</f>
        <v>0</v>
      </c>
      <c r="BG5">
        <f>+VALUE(X5)</f>
        <v>0</v>
      </c>
      <c r="BH5">
        <f>+VALUE(Y5)</f>
        <v>0</v>
      </c>
      <c r="BI5">
        <f>+VALUE(Z5)</f>
        <v>0</v>
      </c>
    </row>
    <row r="6" spans="1:63">
      <c r="A6" s="85" t="s">
        <v>104</v>
      </c>
      <c r="B6" s="85" t="s">
        <v>105</v>
      </c>
      <c r="C6" s="85" t="s">
        <v>77</v>
      </c>
      <c r="D6" s="85"/>
      <c r="E6" s="85" t="s">
        <v>77</v>
      </c>
      <c r="F6" s="85" t="s">
        <v>77</v>
      </c>
      <c r="G6" s="85" t="s">
        <v>77</v>
      </c>
      <c r="H6" s="85" t="s">
        <v>106</v>
      </c>
      <c r="I6" s="85" t="s">
        <v>77</v>
      </c>
      <c r="J6" s="85" t="s">
        <v>77</v>
      </c>
      <c r="T6" s="85"/>
      <c r="U6" s="85"/>
      <c r="V6" s="85"/>
      <c r="W6" s="85"/>
      <c r="X6" s="85"/>
      <c r="Y6" s="85"/>
      <c r="Z6" s="85"/>
      <c r="AA6" s="85"/>
      <c r="AB6" s="85"/>
      <c r="AD6" s="5">
        <v>5</v>
      </c>
      <c r="AE6" s="6">
        <f>+DATE(ParamCurrentYear,AD6,31)</f>
        <v>39599</v>
      </c>
      <c r="AG6" s="89">
        <f t="shared" si="0"/>
        <v>0</v>
      </c>
      <c r="AH6" s="89">
        <f t="shared" si="1"/>
        <v>0</v>
      </c>
      <c r="AI6" s="89">
        <f t="shared" si="2"/>
        <v>0</v>
      </c>
      <c r="AJ6">
        <f>+VALUE(A6)</f>
        <v>1520</v>
      </c>
      <c r="AK6" t="str">
        <f>+B6</f>
        <v>Field Office &amp; Sheds</v>
      </c>
      <c r="AL6">
        <f>+VALUE(C6)</f>
        <v>0</v>
      </c>
      <c r="AM6">
        <f>+VALUE(D6)</f>
        <v>0</v>
      </c>
      <c r="AN6">
        <f>+VALUE(E6)</f>
        <v>0</v>
      </c>
      <c r="AO6">
        <f>+VALUE(F6)</f>
        <v>0</v>
      </c>
      <c r="AP6">
        <f>+VALUE(G6)</f>
        <v>0</v>
      </c>
      <c r="AQ6">
        <f>+VALUE(H6)</f>
        <v>215</v>
      </c>
      <c r="AR6">
        <f>+VALUE(I6)</f>
        <v>0</v>
      </c>
      <c r="AS6">
        <f>+VALUE(J6)</f>
        <v>0</v>
      </c>
      <c r="BC6" t="str">
        <f>+IF(LEN(T6)&gt;0,T6,"")</f>
        <v/>
      </c>
      <c r="BD6">
        <f>+U6</f>
        <v>0</v>
      </c>
      <c r="BE6">
        <f>+V6</f>
        <v>0</v>
      </c>
      <c r="BF6">
        <f>+VALUE(W6)</f>
        <v>0</v>
      </c>
      <c r="BG6">
        <f>+VALUE(X6)</f>
        <v>0</v>
      </c>
      <c r="BH6">
        <f>+VALUE(Y6)</f>
        <v>0</v>
      </c>
      <c r="BI6">
        <f>+VALUE(Z6)</f>
        <v>0</v>
      </c>
    </row>
    <row r="7" spans="1:63">
      <c r="A7" s="85" t="s">
        <v>107</v>
      </c>
      <c r="B7" s="85" t="s">
        <v>108</v>
      </c>
      <c r="C7" s="85" t="s">
        <v>109</v>
      </c>
      <c r="D7" s="85"/>
      <c r="E7" s="85" t="s">
        <v>77</v>
      </c>
      <c r="F7" s="85" t="s">
        <v>110</v>
      </c>
      <c r="G7" s="85" t="s">
        <v>77</v>
      </c>
      <c r="H7" s="85" t="s">
        <v>77</v>
      </c>
      <c r="I7" s="85" t="s">
        <v>77</v>
      </c>
      <c r="J7" s="85" t="s">
        <v>77</v>
      </c>
      <c r="T7" s="85"/>
      <c r="U7" s="85"/>
      <c r="V7" s="85"/>
      <c r="W7" s="85"/>
      <c r="X7" s="85"/>
      <c r="Y7" s="85"/>
      <c r="Z7" s="85"/>
      <c r="AA7" s="85"/>
      <c r="AB7" s="85"/>
      <c r="AD7" s="5">
        <v>6</v>
      </c>
      <c r="AE7" s="6">
        <f>+DATE(ParamCurrentYear,AD7,30)</f>
        <v>39629</v>
      </c>
      <c r="AG7" s="89">
        <f t="shared" si="0"/>
        <v>0</v>
      </c>
      <c r="AH7" s="89">
        <f t="shared" si="1"/>
        <v>0</v>
      </c>
      <c r="AI7" s="89">
        <f t="shared" si="2"/>
        <v>0</v>
      </c>
      <c r="AJ7">
        <f>+VALUE(A7)</f>
        <v>1540</v>
      </c>
      <c r="AK7" t="str">
        <f>+B7</f>
        <v>Mobilize &amp; Demobilize</v>
      </c>
      <c r="AL7">
        <f>+VALUE(C7)</f>
        <v>1446</v>
      </c>
      <c r="AM7">
        <f>+VALUE(D7)</f>
        <v>0</v>
      </c>
      <c r="AN7">
        <f>+VALUE(E7)</f>
        <v>0</v>
      </c>
      <c r="AO7">
        <f>+VALUE(F7)</f>
        <v>1708</v>
      </c>
      <c r="AP7">
        <f>+VALUE(G7)</f>
        <v>0</v>
      </c>
      <c r="AQ7">
        <f>+VALUE(H7)</f>
        <v>0</v>
      </c>
      <c r="AR7">
        <f>+VALUE(I7)</f>
        <v>0</v>
      </c>
      <c r="AS7">
        <f>+VALUE(J7)</f>
        <v>0</v>
      </c>
      <c r="BC7" t="str">
        <f>+IF(LEN(T7)&gt;0,T7,"")</f>
        <v/>
      </c>
      <c r="BD7">
        <f>+U7</f>
        <v>0</v>
      </c>
      <c r="BE7">
        <f>+V7</f>
        <v>0</v>
      </c>
      <c r="BF7">
        <f>+VALUE(W7)</f>
        <v>0</v>
      </c>
      <c r="BG7">
        <f>+VALUE(X7)</f>
        <v>0</v>
      </c>
      <c r="BH7">
        <f>+VALUE(Y7)</f>
        <v>0</v>
      </c>
      <c r="BI7">
        <f>+VALUE(Z7)</f>
        <v>0</v>
      </c>
    </row>
    <row r="8" spans="1:63">
      <c r="A8" s="85" t="s">
        <v>111</v>
      </c>
      <c r="B8" s="85" t="s">
        <v>112</v>
      </c>
      <c r="C8" s="85" t="s">
        <v>113</v>
      </c>
      <c r="D8" s="85"/>
      <c r="E8" s="85" t="s">
        <v>77</v>
      </c>
      <c r="F8" s="85" t="s">
        <v>114</v>
      </c>
      <c r="G8" s="85" t="s">
        <v>77</v>
      </c>
      <c r="H8" s="85" t="s">
        <v>115</v>
      </c>
      <c r="I8" s="85" t="s">
        <v>77</v>
      </c>
      <c r="J8" s="85" t="s">
        <v>77</v>
      </c>
      <c r="T8" s="85"/>
      <c r="U8" s="85"/>
      <c r="V8" s="85"/>
      <c r="W8" s="85"/>
      <c r="X8" s="85"/>
      <c r="Y8" s="85"/>
      <c r="Z8" s="85"/>
      <c r="AA8" s="85"/>
      <c r="AB8" s="85"/>
      <c r="AD8" s="5">
        <v>7</v>
      </c>
      <c r="AE8" s="6">
        <f>+DATE(ParamCurrentYear,AD8,31)</f>
        <v>39660</v>
      </c>
      <c r="AG8" s="89">
        <f t="shared" si="0"/>
        <v>0</v>
      </c>
      <c r="AH8" s="89">
        <f t="shared" si="1"/>
        <v>0</v>
      </c>
      <c r="AI8" s="89">
        <f t="shared" si="2"/>
        <v>0</v>
      </c>
      <c r="AJ8">
        <f>+VALUE(A8)</f>
        <v>2000</v>
      </c>
      <c r="AK8" t="str">
        <f>+B8</f>
        <v>SITE WORK</v>
      </c>
      <c r="AL8">
        <f>+VALUE(C8)</f>
        <v>56985</v>
      </c>
      <c r="AM8">
        <f>+VALUE(D8)</f>
        <v>0</v>
      </c>
      <c r="AN8">
        <f>+VALUE(E8)</f>
        <v>0</v>
      </c>
      <c r="AO8">
        <f>+VALUE(F8)</f>
        <v>67015</v>
      </c>
      <c r="AP8">
        <f>+VALUE(G8)</f>
        <v>0</v>
      </c>
      <c r="AQ8">
        <f>+VALUE(H8)</f>
        <v>35235</v>
      </c>
      <c r="AR8">
        <f>+VALUE(I8)</f>
        <v>0</v>
      </c>
      <c r="AS8">
        <f>+VALUE(J8)</f>
        <v>0</v>
      </c>
      <c r="BC8" t="str">
        <f>+IF(LEN(T8)&gt;0,T8,"")</f>
        <v/>
      </c>
      <c r="BD8">
        <f>+U8</f>
        <v>0</v>
      </c>
      <c r="BE8">
        <f>+V8</f>
        <v>0</v>
      </c>
      <c r="BF8">
        <f>+VALUE(W8)</f>
        <v>0</v>
      </c>
      <c r="BG8">
        <f>+VALUE(X8)</f>
        <v>0</v>
      </c>
      <c r="BH8">
        <f>+VALUE(Y8)</f>
        <v>0</v>
      </c>
      <c r="BI8">
        <f>+VALUE(Z8)</f>
        <v>0</v>
      </c>
    </row>
    <row r="9" spans="1:63">
      <c r="A9" s="85" t="s">
        <v>116</v>
      </c>
      <c r="B9" s="85" t="s">
        <v>117</v>
      </c>
      <c r="C9" s="85" t="s">
        <v>118</v>
      </c>
      <c r="D9" s="85"/>
      <c r="E9" s="85" t="s">
        <v>77</v>
      </c>
      <c r="F9" s="85" t="s">
        <v>119</v>
      </c>
      <c r="G9" s="85" t="s">
        <v>77</v>
      </c>
      <c r="H9" s="85" t="s">
        <v>77</v>
      </c>
      <c r="I9" s="85" t="s">
        <v>77</v>
      </c>
      <c r="J9" s="85" t="s">
        <v>77</v>
      </c>
      <c r="T9" s="85"/>
      <c r="U9" s="85"/>
      <c r="V9" s="85"/>
      <c r="W9" s="85"/>
      <c r="X9" s="85"/>
      <c r="Y9" s="85"/>
      <c r="Z9" s="85"/>
      <c r="AA9" s="85"/>
      <c r="AB9" s="85"/>
      <c r="AD9" s="5">
        <v>8</v>
      </c>
      <c r="AE9" s="6">
        <f>+DATE(ParamCurrentYear,AD9,31)</f>
        <v>39691</v>
      </c>
      <c r="AG9" s="89">
        <f t="shared" si="0"/>
        <v>0</v>
      </c>
      <c r="AH9" s="89">
        <f t="shared" si="1"/>
        <v>0</v>
      </c>
      <c r="AI9" s="89">
        <f t="shared" si="2"/>
        <v>0</v>
      </c>
      <c r="AJ9">
        <f>+VALUE(A9)</f>
        <v>2300</v>
      </c>
      <c r="AK9" t="str">
        <f>+B9</f>
        <v>Excavation/Export/Fill</v>
      </c>
      <c r="AL9">
        <f>+VALUE(C9)</f>
        <v>8151</v>
      </c>
      <c r="AM9">
        <f>+VALUE(D9)</f>
        <v>0</v>
      </c>
      <c r="AN9">
        <f>+VALUE(E9)</f>
        <v>0</v>
      </c>
      <c r="AO9">
        <f>+VALUE(F9)</f>
        <v>9710</v>
      </c>
      <c r="AP9">
        <f>+VALUE(G9)</f>
        <v>0</v>
      </c>
      <c r="AQ9">
        <f>+VALUE(H9)</f>
        <v>0</v>
      </c>
      <c r="AR9">
        <f>+VALUE(I9)</f>
        <v>0</v>
      </c>
      <c r="AS9">
        <f>+VALUE(J9)</f>
        <v>0</v>
      </c>
      <c r="BC9" t="str">
        <f>+IF(LEN(T9)&gt;0,T9,"")</f>
        <v/>
      </c>
      <c r="BD9">
        <f>+U9</f>
        <v>0</v>
      </c>
      <c r="BE9">
        <f>+V9</f>
        <v>0</v>
      </c>
      <c r="BF9">
        <f>+VALUE(W9)</f>
        <v>0</v>
      </c>
      <c r="BG9">
        <f>+VALUE(X9)</f>
        <v>0</v>
      </c>
      <c r="BH9">
        <f>+VALUE(Y9)</f>
        <v>0</v>
      </c>
      <c r="BI9">
        <f>+VALUE(Z9)</f>
        <v>0</v>
      </c>
    </row>
    <row r="10" spans="1:63">
      <c r="A10" s="85" t="s">
        <v>120</v>
      </c>
      <c r="B10" s="85" t="s">
        <v>121</v>
      </c>
      <c r="C10" s="85" t="s">
        <v>122</v>
      </c>
      <c r="D10" s="85"/>
      <c r="E10" s="85" t="s">
        <v>77</v>
      </c>
      <c r="F10" s="85" t="s">
        <v>123</v>
      </c>
      <c r="G10" s="85" t="s">
        <v>77</v>
      </c>
      <c r="H10" s="85" t="s">
        <v>77</v>
      </c>
      <c r="I10" s="85" t="s">
        <v>77</v>
      </c>
      <c r="J10" s="85" t="s">
        <v>77</v>
      </c>
      <c r="T10" s="85"/>
      <c r="U10" s="85"/>
      <c r="V10" s="85"/>
      <c r="W10" s="85"/>
      <c r="X10" s="85"/>
      <c r="Y10" s="85"/>
      <c r="Z10" s="85"/>
      <c r="AA10" s="85"/>
      <c r="AB10" s="85"/>
      <c r="AD10" s="5">
        <v>9</v>
      </c>
      <c r="AE10" s="6">
        <f>+DATE(ParamCurrentYear,AD10,30)</f>
        <v>39721</v>
      </c>
      <c r="AG10" s="89">
        <f t="shared" si="0"/>
        <v>0</v>
      </c>
      <c r="AH10" s="89">
        <f t="shared" si="1"/>
        <v>0</v>
      </c>
      <c r="AI10" s="89">
        <f t="shared" si="2"/>
        <v>0</v>
      </c>
      <c r="AJ10">
        <f>+VALUE(A10)</f>
        <v>3000</v>
      </c>
      <c r="AK10" t="str">
        <f>+B10</f>
        <v>CONCRETE</v>
      </c>
      <c r="AL10">
        <f>+VALUE(C10)</f>
        <v>3381</v>
      </c>
      <c r="AM10">
        <f>+VALUE(D10)</f>
        <v>0</v>
      </c>
      <c r="AN10">
        <f>+VALUE(E10)</f>
        <v>0</v>
      </c>
      <c r="AO10">
        <f>+VALUE(F10)</f>
        <v>3977</v>
      </c>
      <c r="AP10">
        <f>+VALUE(G10)</f>
        <v>0</v>
      </c>
      <c r="AQ10">
        <f>+VALUE(H10)</f>
        <v>0</v>
      </c>
      <c r="AR10">
        <f>+VALUE(I10)</f>
        <v>0</v>
      </c>
      <c r="AS10">
        <f>+VALUE(J10)</f>
        <v>0</v>
      </c>
      <c r="BC10" t="str">
        <f>+IF(LEN(T10)&gt;0,T10,"")</f>
        <v/>
      </c>
      <c r="BD10">
        <f>+U10</f>
        <v>0</v>
      </c>
      <c r="BE10">
        <f>+V10</f>
        <v>0</v>
      </c>
      <c r="BF10">
        <f>+VALUE(W10)</f>
        <v>0</v>
      </c>
      <c r="BG10">
        <f>+VALUE(X10)</f>
        <v>0</v>
      </c>
      <c r="BH10">
        <f>+VALUE(Y10)</f>
        <v>0</v>
      </c>
      <c r="BI10">
        <f>+VALUE(Z10)</f>
        <v>0</v>
      </c>
    </row>
    <row r="11" spans="1:63">
      <c r="A11" s="85" t="s">
        <v>124</v>
      </c>
      <c r="B11" s="85" t="s">
        <v>125</v>
      </c>
      <c r="C11" s="85" t="s">
        <v>126</v>
      </c>
      <c r="D11" s="85"/>
      <c r="E11" s="85" t="s">
        <v>77</v>
      </c>
      <c r="F11" s="85" t="s">
        <v>127</v>
      </c>
      <c r="G11" s="85" t="s">
        <v>77</v>
      </c>
      <c r="H11" s="85" t="s">
        <v>128</v>
      </c>
      <c r="I11" s="85" t="s">
        <v>77</v>
      </c>
      <c r="J11" s="85" t="s">
        <v>77</v>
      </c>
      <c r="T11" s="85"/>
      <c r="U11" s="85"/>
      <c r="V11" s="85"/>
      <c r="W11" s="85"/>
      <c r="X11" s="85"/>
      <c r="Y11" s="85"/>
      <c r="Z11" s="85"/>
      <c r="AA11" s="85"/>
      <c r="AB11" s="85"/>
      <c r="AD11" s="5">
        <v>10</v>
      </c>
      <c r="AE11" s="6">
        <f>+DATE(ParamCurrentYear,AD11,31)</f>
        <v>39752</v>
      </c>
      <c r="AG11" s="89">
        <f t="shared" si="0"/>
        <v>0</v>
      </c>
      <c r="AH11" s="89">
        <f t="shared" si="1"/>
        <v>0</v>
      </c>
      <c r="AI11" s="89">
        <f t="shared" si="2"/>
        <v>0</v>
      </c>
      <c r="AJ11">
        <f>+VALUE(A11)</f>
        <v>3100</v>
      </c>
      <c r="AK11" t="str">
        <f>+B11</f>
        <v>Foundation Formwork</v>
      </c>
      <c r="AL11">
        <f>+VALUE(C11)</f>
        <v>7695</v>
      </c>
      <c r="AM11">
        <f>+VALUE(D11)</f>
        <v>0</v>
      </c>
      <c r="AN11">
        <f>+VALUE(E11)</f>
        <v>0</v>
      </c>
      <c r="AO11">
        <f>+VALUE(F11)</f>
        <v>9400</v>
      </c>
      <c r="AP11">
        <f>+VALUE(G11)</f>
        <v>0</v>
      </c>
      <c r="AQ11">
        <f>+VALUE(H11)</f>
        <v>2790.59</v>
      </c>
      <c r="AR11">
        <f>+VALUE(I11)</f>
        <v>0</v>
      </c>
      <c r="AS11">
        <f>+VALUE(J11)</f>
        <v>0</v>
      </c>
      <c r="BC11" t="str">
        <f>+IF(LEN(T11)&gt;0,T11,"")</f>
        <v/>
      </c>
      <c r="BD11">
        <f>+U11</f>
        <v>0</v>
      </c>
      <c r="BE11">
        <f>+V11</f>
        <v>0</v>
      </c>
      <c r="BF11">
        <f>+VALUE(W11)</f>
        <v>0</v>
      </c>
      <c r="BG11">
        <f>+VALUE(X11)</f>
        <v>0</v>
      </c>
      <c r="BH11">
        <f>+VALUE(Y11)</f>
        <v>0</v>
      </c>
      <c r="BI11">
        <f>+VALUE(Z11)</f>
        <v>0</v>
      </c>
    </row>
    <row r="12" spans="1:63">
      <c r="A12" s="85" t="s">
        <v>129</v>
      </c>
      <c r="B12" s="85" t="s">
        <v>130</v>
      </c>
      <c r="C12" s="85" t="s">
        <v>131</v>
      </c>
      <c r="D12" s="85"/>
      <c r="E12" s="85" t="s">
        <v>77</v>
      </c>
      <c r="F12" s="85" t="s">
        <v>132</v>
      </c>
      <c r="G12" s="85" t="s">
        <v>77</v>
      </c>
      <c r="H12" s="85" t="s">
        <v>77</v>
      </c>
      <c r="I12" s="85" t="s">
        <v>77</v>
      </c>
      <c r="J12" s="85" t="s">
        <v>77</v>
      </c>
      <c r="T12" s="85"/>
      <c r="U12" s="85"/>
      <c r="V12" s="85"/>
      <c r="W12" s="85"/>
      <c r="X12" s="85"/>
      <c r="Y12" s="85"/>
      <c r="Z12" s="85"/>
      <c r="AA12" s="85"/>
      <c r="AB12" s="85"/>
      <c r="AD12" s="5">
        <v>11</v>
      </c>
      <c r="AE12" s="6">
        <f>+DATE(ParamCurrentYear,AD12,30)</f>
        <v>39782</v>
      </c>
      <c r="AG12" s="89">
        <f t="shared" si="0"/>
        <v>0</v>
      </c>
      <c r="AH12" s="89">
        <f t="shared" si="1"/>
        <v>0</v>
      </c>
      <c r="AI12" s="89">
        <f t="shared" si="2"/>
        <v>0</v>
      </c>
      <c r="AJ12">
        <f>+VALUE(A12)</f>
        <v>3200</v>
      </c>
      <c r="AK12" t="str">
        <f>+B12</f>
        <v>Foundation Reinforcement</v>
      </c>
      <c r="AL12">
        <f>+VALUE(C12)</f>
        <v>417</v>
      </c>
      <c r="AM12">
        <f>+VALUE(D12)</f>
        <v>0</v>
      </c>
      <c r="AN12">
        <f>+VALUE(E12)</f>
        <v>0</v>
      </c>
      <c r="AO12">
        <f>+VALUE(F12)</f>
        <v>528</v>
      </c>
      <c r="AP12">
        <f>+VALUE(G12)</f>
        <v>0</v>
      </c>
      <c r="AQ12">
        <f>+VALUE(H12)</f>
        <v>0</v>
      </c>
      <c r="AR12">
        <f>+VALUE(I12)</f>
        <v>0</v>
      </c>
      <c r="AS12">
        <f>+VALUE(J12)</f>
        <v>0</v>
      </c>
      <c r="BC12" t="str">
        <f>+IF(LEN(T12)&gt;0,T12,"")</f>
        <v/>
      </c>
      <c r="BD12">
        <f>+U12</f>
        <v>0</v>
      </c>
      <c r="BE12">
        <f>+V12</f>
        <v>0</v>
      </c>
      <c r="BF12">
        <f>+VALUE(W12)</f>
        <v>0</v>
      </c>
      <c r="BG12">
        <f>+VALUE(X12)</f>
        <v>0</v>
      </c>
      <c r="BH12">
        <f>+VALUE(Y12)</f>
        <v>0</v>
      </c>
      <c r="BI12">
        <f>+VALUE(Z12)</f>
        <v>0</v>
      </c>
    </row>
    <row r="13" spans="1:63">
      <c r="A13" s="85" t="s">
        <v>133</v>
      </c>
      <c r="B13" s="85" t="s">
        <v>134</v>
      </c>
      <c r="C13" s="85" t="s">
        <v>135</v>
      </c>
      <c r="D13" s="85"/>
      <c r="E13" s="85" t="s">
        <v>77</v>
      </c>
      <c r="F13" s="85" t="s">
        <v>136</v>
      </c>
      <c r="G13" s="85" t="s">
        <v>77</v>
      </c>
      <c r="H13" s="85" t="s">
        <v>77</v>
      </c>
      <c r="I13" s="85" t="s">
        <v>77</v>
      </c>
      <c r="J13" s="85" t="s">
        <v>77</v>
      </c>
      <c r="T13" s="85"/>
      <c r="U13" s="85"/>
      <c r="V13" s="85"/>
      <c r="W13" s="85"/>
      <c r="X13" s="85"/>
      <c r="Y13" s="85"/>
      <c r="Z13" s="85"/>
      <c r="AA13" s="85"/>
      <c r="AB13" s="85"/>
      <c r="AD13" s="5">
        <v>12</v>
      </c>
      <c r="AE13" s="6">
        <f>+DATE(ParamCurrentYear,AD13,31)</f>
        <v>39813</v>
      </c>
      <c r="AG13" s="89">
        <f t="shared" si="0"/>
        <v>0</v>
      </c>
      <c r="AH13" s="89">
        <f t="shared" si="1"/>
        <v>0</v>
      </c>
      <c r="AI13" s="89">
        <f t="shared" si="2"/>
        <v>0</v>
      </c>
      <c r="AJ13">
        <f>+VALUE(A13)</f>
        <v>3300</v>
      </c>
      <c r="AK13" t="str">
        <f>+B13</f>
        <v>Foundation Cast-in-Place</v>
      </c>
      <c r="AL13">
        <f>+VALUE(C13)</f>
        <v>5066</v>
      </c>
      <c r="AM13">
        <f>+VALUE(D13)</f>
        <v>0</v>
      </c>
      <c r="AN13">
        <f>+VALUE(E13)</f>
        <v>0</v>
      </c>
      <c r="AO13">
        <f>+VALUE(F13)</f>
        <v>6385</v>
      </c>
      <c r="AP13">
        <f>+VALUE(G13)</f>
        <v>0</v>
      </c>
      <c r="AQ13">
        <f>+VALUE(H13)</f>
        <v>0</v>
      </c>
      <c r="AR13">
        <f>+VALUE(I13)</f>
        <v>0</v>
      </c>
      <c r="AS13">
        <f>+VALUE(J13)</f>
        <v>0</v>
      </c>
      <c r="BC13" t="str">
        <f>+IF(LEN(T13)&gt;0,T13,"")</f>
        <v/>
      </c>
      <c r="BD13">
        <f>+U13</f>
        <v>0</v>
      </c>
      <c r="BE13">
        <f>+V13</f>
        <v>0</v>
      </c>
      <c r="BF13">
        <f>+VALUE(W13)</f>
        <v>0</v>
      </c>
      <c r="BG13">
        <f>+VALUE(X13)</f>
        <v>0</v>
      </c>
      <c r="BH13">
        <f>+VALUE(Y13)</f>
        <v>0</v>
      </c>
      <c r="BI13">
        <f>+VALUE(Z13)</f>
        <v>0</v>
      </c>
    </row>
    <row r="14" spans="1:63">
      <c r="A14" s="85" t="s">
        <v>137</v>
      </c>
      <c r="B14" s="85" t="s">
        <v>138</v>
      </c>
      <c r="C14" s="85" t="s">
        <v>139</v>
      </c>
      <c r="D14" s="85"/>
      <c r="E14" s="85" t="s">
        <v>77</v>
      </c>
      <c r="F14" s="85" t="s">
        <v>140</v>
      </c>
      <c r="G14" s="85" t="s">
        <v>77</v>
      </c>
      <c r="H14" s="85" t="s">
        <v>77</v>
      </c>
      <c r="I14" s="85" t="s">
        <v>77</v>
      </c>
      <c r="J14" s="85" t="s">
        <v>77</v>
      </c>
      <c r="T14" s="85"/>
      <c r="U14" s="85"/>
      <c r="V14" s="85"/>
      <c r="W14" s="85"/>
      <c r="X14" s="85"/>
      <c r="Y14" s="85"/>
      <c r="Z14" s="85"/>
      <c r="AA14" s="85"/>
      <c r="AB14" s="85"/>
      <c r="AG14" s="89">
        <f t="shared" si="0"/>
        <v>0</v>
      </c>
      <c r="AH14" s="89">
        <f t="shared" si="1"/>
        <v>0</v>
      </c>
      <c r="AI14" s="89">
        <f t="shared" si="2"/>
        <v>0</v>
      </c>
      <c r="AJ14">
        <f>+VALUE(A14)</f>
        <v>3340</v>
      </c>
      <c r="AK14" t="str">
        <f>+B14</f>
        <v>Slab Prep</v>
      </c>
      <c r="AL14">
        <f>+VALUE(C14)</f>
        <v>14495</v>
      </c>
      <c r="AM14">
        <f>+VALUE(D14)</f>
        <v>0</v>
      </c>
      <c r="AN14">
        <f>+VALUE(E14)</f>
        <v>0</v>
      </c>
      <c r="AO14">
        <f>+VALUE(F14)</f>
        <v>11312</v>
      </c>
      <c r="AP14">
        <f>+VALUE(G14)</f>
        <v>0</v>
      </c>
      <c r="AQ14">
        <f>+VALUE(H14)</f>
        <v>0</v>
      </c>
      <c r="AR14">
        <f>+VALUE(I14)</f>
        <v>0</v>
      </c>
      <c r="AS14">
        <f>+VALUE(J14)</f>
        <v>0</v>
      </c>
      <c r="BC14" t="str">
        <f>+IF(LEN(T14)&gt;0,T14,"")</f>
        <v/>
      </c>
      <c r="BD14">
        <f>+U14</f>
        <v>0</v>
      </c>
      <c r="BE14">
        <f>+V14</f>
        <v>0</v>
      </c>
      <c r="BF14">
        <f>+VALUE(W14)</f>
        <v>0</v>
      </c>
      <c r="BG14">
        <f>+VALUE(X14)</f>
        <v>0</v>
      </c>
      <c r="BH14">
        <f>+VALUE(Y14)</f>
        <v>0</v>
      </c>
      <c r="BI14">
        <f>+VALUE(Z14)</f>
        <v>0</v>
      </c>
    </row>
    <row r="15" spans="1:63">
      <c r="A15" s="85" t="s">
        <v>141</v>
      </c>
      <c r="B15" s="85" t="s">
        <v>142</v>
      </c>
      <c r="C15" s="85" t="s">
        <v>143</v>
      </c>
      <c r="D15" s="85"/>
      <c r="E15" s="85" t="s">
        <v>77</v>
      </c>
      <c r="F15" s="85" t="s">
        <v>144</v>
      </c>
      <c r="G15" s="85" t="s">
        <v>77</v>
      </c>
      <c r="H15" s="85" t="s">
        <v>77</v>
      </c>
      <c r="I15" s="85" t="s">
        <v>77</v>
      </c>
      <c r="J15" s="85" t="s">
        <v>77</v>
      </c>
      <c r="T15" s="85"/>
      <c r="U15" s="85"/>
      <c r="V15" s="85"/>
      <c r="W15" s="85"/>
      <c r="X15" s="85"/>
      <c r="Y15" s="85"/>
      <c r="Z15" s="85"/>
      <c r="AA15" s="85"/>
      <c r="AB15" s="85"/>
      <c r="AG15" s="89">
        <f t="shared" si="0"/>
        <v>0</v>
      </c>
      <c r="AH15" s="89">
        <f t="shared" si="1"/>
        <v>0</v>
      </c>
      <c r="AI15" s="89">
        <f t="shared" si="2"/>
        <v>0</v>
      </c>
      <c r="AJ15">
        <f>+VALUE(A15)</f>
        <v>3350</v>
      </c>
      <c r="AK15" t="str">
        <f>+B15</f>
        <v>Slab Cast-in-Place</v>
      </c>
      <c r="AL15">
        <f>+VALUE(C15)</f>
        <v>7644</v>
      </c>
      <c r="AM15">
        <f>+VALUE(D15)</f>
        <v>0</v>
      </c>
      <c r="AN15">
        <f>+VALUE(E15)</f>
        <v>0</v>
      </c>
      <c r="AO15">
        <f>+VALUE(F15)</f>
        <v>15411</v>
      </c>
      <c r="AP15">
        <f>+VALUE(G15)</f>
        <v>0</v>
      </c>
      <c r="AQ15">
        <f>+VALUE(H15)</f>
        <v>0</v>
      </c>
      <c r="AR15">
        <f>+VALUE(I15)</f>
        <v>0</v>
      </c>
      <c r="AS15">
        <f>+VALUE(J15)</f>
        <v>0</v>
      </c>
      <c r="BC15" t="str">
        <f>+IF(LEN(T15)&gt;0,T15,"")</f>
        <v/>
      </c>
      <c r="BD15">
        <f>+U15</f>
        <v>0</v>
      </c>
      <c r="BE15">
        <f>+V15</f>
        <v>0</v>
      </c>
      <c r="BF15">
        <f>+VALUE(W15)</f>
        <v>0</v>
      </c>
      <c r="BG15">
        <f>+VALUE(X15)</f>
        <v>0</v>
      </c>
      <c r="BH15">
        <f>+VALUE(Y15)</f>
        <v>0</v>
      </c>
      <c r="BI15">
        <f>+VALUE(Z15)</f>
        <v>0</v>
      </c>
    </row>
    <row r="16" spans="1:63">
      <c r="A16" s="85" t="s">
        <v>145</v>
      </c>
      <c r="B16" s="85" t="s">
        <v>146</v>
      </c>
      <c r="C16" s="85" t="s">
        <v>147</v>
      </c>
      <c r="D16" s="85"/>
      <c r="E16" s="85" t="s">
        <v>77</v>
      </c>
      <c r="F16" s="85" t="s">
        <v>148</v>
      </c>
      <c r="G16" s="85" t="s">
        <v>77</v>
      </c>
      <c r="H16" s="85" t="s">
        <v>77</v>
      </c>
      <c r="I16" s="85" t="s">
        <v>77</v>
      </c>
      <c r="J16" s="85" t="s">
        <v>77</v>
      </c>
      <c r="T16" s="85"/>
      <c r="U16" s="85"/>
      <c r="V16" s="85"/>
      <c r="W16" s="85"/>
      <c r="X16" s="85"/>
      <c r="Y16" s="85"/>
      <c r="Z16" s="85"/>
      <c r="AA16" s="85"/>
      <c r="AB16" s="85"/>
      <c r="AG16" s="89">
        <f t="shared" si="0"/>
        <v>0</v>
      </c>
      <c r="AH16" s="89">
        <f t="shared" si="1"/>
        <v>0</v>
      </c>
      <c r="AI16" s="89">
        <f t="shared" si="2"/>
        <v>0</v>
      </c>
      <c r="AJ16">
        <f>+VALUE(A16)</f>
        <v>4000</v>
      </c>
      <c r="AK16" t="str">
        <f>+B16</f>
        <v>MASONRY</v>
      </c>
      <c r="AL16">
        <f>+VALUE(C16)</f>
        <v>37125</v>
      </c>
      <c r="AM16">
        <f>+VALUE(D16)</f>
        <v>0</v>
      </c>
      <c r="AN16">
        <f>+VALUE(E16)</f>
        <v>0</v>
      </c>
      <c r="AO16">
        <f>+VALUE(F16)</f>
        <v>43659</v>
      </c>
      <c r="AP16">
        <f>+VALUE(G16)</f>
        <v>0</v>
      </c>
      <c r="AQ16">
        <f>+VALUE(H16)</f>
        <v>0</v>
      </c>
      <c r="AR16">
        <f>+VALUE(I16)</f>
        <v>0</v>
      </c>
      <c r="AS16">
        <f>+VALUE(J16)</f>
        <v>0</v>
      </c>
      <c r="BC16" t="str">
        <f>+IF(LEN(T16)&gt;0,T16,"")</f>
        <v/>
      </c>
      <c r="BD16">
        <f>+U16</f>
        <v>0</v>
      </c>
      <c r="BE16">
        <f>+V16</f>
        <v>0</v>
      </c>
      <c r="BF16">
        <f>+VALUE(W16)</f>
        <v>0</v>
      </c>
      <c r="BG16">
        <f>+VALUE(X16)</f>
        <v>0</v>
      </c>
      <c r="BH16">
        <f>+VALUE(Y16)</f>
        <v>0</v>
      </c>
      <c r="BI16">
        <f>+VALUE(Z16)</f>
        <v>0</v>
      </c>
    </row>
    <row r="17" spans="1:61">
      <c r="A17" s="85" t="s">
        <v>149</v>
      </c>
      <c r="B17" s="85" t="s">
        <v>150</v>
      </c>
      <c r="C17" s="85" t="s">
        <v>151</v>
      </c>
      <c r="D17" s="85"/>
      <c r="E17" s="85" t="s">
        <v>77</v>
      </c>
      <c r="F17" s="85" t="s">
        <v>152</v>
      </c>
      <c r="G17" s="85" t="s">
        <v>77</v>
      </c>
      <c r="H17" s="85" t="s">
        <v>77</v>
      </c>
      <c r="I17" s="85" t="s">
        <v>77</v>
      </c>
      <c r="J17" s="85" t="s">
        <v>77</v>
      </c>
      <c r="T17" s="85"/>
      <c r="U17" s="85"/>
      <c r="V17" s="85"/>
      <c r="W17" s="85"/>
      <c r="X17" s="85"/>
      <c r="Y17" s="85"/>
      <c r="Z17" s="85"/>
      <c r="AA17" s="85"/>
      <c r="AB17" s="85"/>
      <c r="AG17" s="89">
        <f t="shared" si="0"/>
        <v>0</v>
      </c>
      <c r="AH17" s="89">
        <f t="shared" si="1"/>
        <v>0</v>
      </c>
      <c r="AI17" s="89">
        <f t="shared" si="2"/>
        <v>0</v>
      </c>
      <c r="AJ17">
        <f>+VALUE(A17)</f>
        <v>5100</v>
      </c>
      <c r="AK17" t="str">
        <f>+B17</f>
        <v>Structural Steel</v>
      </c>
      <c r="AL17">
        <f>+VALUE(C17)</f>
        <v>10180</v>
      </c>
      <c r="AM17">
        <f>+VALUE(D17)</f>
        <v>0</v>
      </c>
      <c r="AN17">
        <f>+VALUE(E17)</f>
        <v>0</v>
      </c>
      <c r="AO17">
        <f>+VALUE(F17)</f>
        <v>11972</v>
      </c>
      <c r="AP17">
        <f>+VALUE(G17)</f>
        <v>0</v>
      </c>
      <c r="AQ17">
        <f>+VALUE(H17)</f>
        <v>0</v>
      </c>
      <c r="AR17">
        <f>+VALUE(I17)</f>
        <v>0</v>
      </c>
      <c r="AS17">
        <f>+VALUE(J17)</f>
        <v>0</v>
      </c>
      <c r="BC17" t="str">
        <f>+IF(LEN(T17)&gt;0,T17,"")</f>
        <v/>
      </c>
      <c r="BD17">
        <f>+U17</f>
        <v>0</v>
      </c>
      <c r="BE17">
        <f>+V17</f>
        <v>0</v>
      </c>
      <c r="BF17">
        <f>+VALUE(W17)</f>
        <v>0</v>
      </c>
      <c r="BG17">
        <f>+VALUE(X17)</f>
        <v>0</v>
      </c>
      <c r="BH17">
        <f>+VALUE(Y17)</f>
        <v>0</v>
      </c>
      <c r="BI17">
        <f>+VALUE(Z17)</f>
        <v>0</v>
      </c>
    </row>
    <row r="18" spans="1:61">
      <c r="A18" s="85" t="s">
        <v>153</v>
      </c>
      <c r="B18" s="85" t="s">
        <v>154</v>
      </c>
      <c r="C18" s="85" t="s">
        <v>155</v>
      </c>
      <c r="D18" s="85"/>
      <c r="E18" s="85" t="s">
        <v>77</v>
      </c>
      <c r="F18" s="85" t="s">
        <v>156</v>
      </c>
      <c r="G18" s="85" t="s">
        <v>77</v>
      </c>
      <c r="H18" s="85" t="s">
        <v>157</v>
      </c>
      <c r="I18" s="85" t="s">
        <v>77</v>
      </c>
      <c r="J18" s="85" t="s">
        <v>77</v>
      </c>
      <c r="T18" s="85"/>
      <c r="U18" s="85"/>
      <c r="V18" s="85"/>
      <c r="W18" s="85"/>
      <c r="X18" s="85"/>
      <c r="Y18" s="85"/>
      <c r="Z18" s="85"/>
      <c r="AA18" s="85"/>
      <c r="AB18" s="85"/>
      <c r="AG18" s="89">
        <f t="shared" si="0"/>
        <v>0</v>
      </c>
      <c r="AH18" s="89">
        <f t="shared" si="1"/>
        <v>0</v>
      </c>
      <c r="AI18" s="89">
        <f t="shared" si="2"/>
        <v>0</v>
      </c>
      <c r="AJ18">
        <f>+VALUE(A18)</f>
        <v>6100</v>
      </c>
      <c r="AK18" t="str">
        <f>+B18</f>
        <v>Rough Framing</v>
      </c>
      <c r="AL18">
        <f>+VALUE(C18)</f>
        <v>39339</v>
      </c>
      <c r="AM18">
        <f>+VALUE(D18)</f>
        <v>0</v>
      </c>
      <c r="AN18">
        <f>+VALUE(E18)</f>
        <v>0</v>
      </c>
      <c r="AO18">
        <f>+VALUE(F18)</f>
        <v>46630</v>
      </c>
      <c r="AP18">
        <f>+VALUE(G18)</f>
        <v>0</v>
      </c>
      <c r="AQ18">
        <f>+VALUE(H18)</f>
        <v>2274.59</v>
      </c>
      <c r="AR18">
        <f>+VALUE(I18)</f>
        <v>0</v>
      </c>
      <c r="AS18">
        <f>+VALUE(J18)</f>
        <v>0</v>
      </c>
      <c r="BC18" t="str">
        <f>+IF(LEN(T18)&gt;0,T18,"")</f>
        <v/>
      </c>
      <c r="BD18">
        <f>+U18</f>
        <v>0</v>
      </c>
      <c r="BE18">
        <f>+V18</f>
        <v>0</v>
      </c>
      <c r="BF18">
        <f>+VALUE(W18)</f>
        <v>0</v>
      </c>
      <c r="BG18">
        <f>+VALUE(X18)</f>
        <v>0</v>
      </c>
      <c r="BH18">
        <f>+VALUE(Y18)</f>
        <v>0</v>
      </c>
      <c r="BI18">
        <f>+VALUE(Z18)</f>
        <v>0</v>
      </c>
    </row>
    <row r="19" spans="1:61">
      <c r="A19" s="85" t="s">
        <v>158</v>
      </c>
      <c r="B19" s="85" t="s">
        <v>159</v>
      </c>
      <c r="C19" s="85" t="s">
        <v>160</v>
      </c>
      <c r="D19" s="85"/>
      <c r="E19" s="85" t="s">
        <v>77</v>
      </c>
      <c r="F19" s="85" t="s">
        <v>161</v>
      </c>
      <c r="G19" s="85" t="s">
        <v>77</v>
      </c>
      <c r="H19" s="85" t="s">
        <v>77</v>
      </c>
      <c r="I19" s="85" t="s">
        <v>77</v>
      </c>
      <c r="J19" s="85" t="s">
        <v>77</v>
      </c>
      <c r="T19" s="85"/>
      <c r="U19" s="85"/>
      <c r="V19" s="85"/>
      <c r="W19" s="85"/>
      <c r="X19" s="85"/>
      <c r="Y19" s="85"/>
      <c r="Z19" s="85"/>
      <c r="AA19" s="85"/>
      <c r="AB19" s="85"/>
      <c r="AG19" s="89">
        <f t="shared" si="0"/>
        <v>0</v>
      </c>
      <c r="AH19" s="89">
        <f t="shared" si="1"/>
        <v>0</v>
      </c>
      <c r="AI19" s="89">
        <f t="shared" si="2"/>
        <v>0</v>
      </c>
      <c r="AJ19">
        <f>+VALUE(A19)</f>
        <v>6120</v>
      </c>
      <c r="AK19" t="str">
        <f>+B19</f>
        <v>Wall Framing</v>
      </c>
      <c r="AL19">
        <f>+VALUE(C19)</f>
        <v>2095</v>
      </c>
      <c r="AM19">
        <f>+VALUE(D19)</f>
        <v>0</v>
      </c>
      <c r="AN19">
        <f>+VALUE(E19)</f>
        <v>0</v>
      </c>
      <c r="AO19">
        <f>+VALUE(F19)</f>
        <v>2522</v>
      </c>
      <c r="AP19">
        <f>+VALUE(G19)</f>
        <v>0</v>
      </c>
      <c r="AQ19">
        <f>+VALUE(H19)</f>
        <v>0</v>
      </c>
      <c r="AR19">
        <f>+VALUE(I19)</f>
        <v>0</v>
      </c>
      <c r="AS19">
        <f>+VALUE(J19)</f>
        <v>0</v>
      </c>
      <c r="BC19" t="str">
        <f>+IF(LEN(T19)&gt;0,T19,"")</f>
        <v/>
      </c>
      <c r="BD19">
        <f>+U19</f>
        <v>0</v>
      </c>
      <c r="BE19">
        <f>+V19</f>
        <v>0</v>
      </c>
      <c r="BF19">
        <f>+VALUE(W19)</f>
        <v>0</v>
      </c>
      <c r="BG19">
        <f>+VALUE(X19)</f>
        <v>0</v>
      </c>
      <c r="BH19">
        <f>+VALUE(Y19)</f>
        <v>0</v>
      </c>
      <c r="BI19">
        <f>+VALUE(Z19)</f>
        <v>0</v>
      </c>
    </row>
    <row r="20" spans="1:61">
      <c r="A20" s="85" t="s">
        <v>162</v>
      </c>
      <c r="B20" s="85" t="s">
        <v>163</v>
      </c>
      <c r="C20" s="85" t="s">
        <v>164</v>
      </c>
      <c r="D20" s="85"/>
      <c r="E20" s="85" t="s">
        <v>77</v>
      </c>
      <c r="F20" s="85" t="s">
        <v>165</v>
      </c>
      <c r="G20" s="85" t="s">
        <v>77</v>
      </c>
      <c r="H20" s="85" t="s">
        <v>166</v>
      </c>
      <c r="I20" s="85" t="s">
        <v>77</v>
      </c>
      <c r="J20" s="85" t="s">
        <v>77</v>
      </c>
      <c r="T20" s="85"/>
      <c r="U20" s="85"/>
      <c r="V20" s="85"/>
      <c r="W20" s="85"/>
      <c r="X20" s="85"/>
      <c r="Y20" s="85"/>
      <c r="Z20" s="85"/>
      <c r="AA20" s="85"/>
      <c r="AB20" s="85"/>
      <c r="AG20" s="89">
        <f t="shared" si="0"/>
        <v>0</v>
      </c>
      <c r="AH20" s="89">
        <f t="shared" si="1"/>
        <v>0</v>
      </c>
      <c r="AI20" s="89">
        <f t="shared" si="2"/>
        <v>0</v>
      </c>
      <c r="AJ20">
        <f>+VALUE(A20)</f>
        <v>6130</v>
      </c>
      <c r="AK20" t="str">
        <f>+B20</f>
        <v>Roof Framing</v>
      </c>
      <c r="AL20">
        <f>+VALUE(C20)</f>
        <v>11088</v>
      </c>
      <c r="AM20">
        <f>+VALUE(D20)</f>
        <v>0</v>
      </c>
      <c r="AN20">
        <f>+VALUE(E20)</f>
        <v>0</v>
      </c>
      <c r="AO20">
        <f>+VALUE(F20)</f>
        <v>13040</v>
      </c>
      <c r="AP20">
        <f>+VALUE(G20)</f>
        <v>0</v>
      </c>
      <c r="AQ20">
        <f>+VALUE(H20)</f>
        <v>3549.92</v>
      </c>
      <c r="AR20">
        <f>+VALUE(I20)</f>
        <v>0</v>
      </c>
      <c r="AS20">
        <f>+VALUE(J20)</f>
        <v>0</v>
      </c>
      <c r="BC20" t="str">
        <f>+IF(LEN(T20)&gt;0,T20,"")</f>
        <v/>
      </c>
      <c r="BD20">
        <f>+U20</f>
        <v>0</v>
      </c>
      <c r="BE20">
        <f>+V20</f>
        <v>0</v>
      </c>
      <c r="BF20">
        <f>+VALUE(W20)</f>
        <v>0</v>
      </c>
      <c r="BG20">
        <f>+VALUE(X20)</f>
        <v>0</v>
      </c>
      <c r="BH20">
        <f>+VALUE(Y20)</f>
        <v>0</v>
      </c>
      <c r="BI20">
        <f>+VALUE(Z20)</f>
        <v>0</v>
      </c>
    </row>
    <row r="21" spans="1:61">
      <c r="A21" s="85" t="s">
        <v>167</v>
      </c>
      <c r="B21" s="85" t="s">
        <v>168</v>
      </c>
      <c r="C21" s="85" t="s">
        <v>169</v>
      </c>
      <c r="D21" s="85"/>
      <c r="E21" s="85" t="s">
        <v>77</v>
      </c>
      <c r="F21" s="85" t="s">
        <v>170</v>
      </c>
      <c r="G21" s="85" t="s">
        <v>77</v>
      </c>
      <c r="H21" s="85" t="s">
        <v>77</v>
      </c>
      <c r="I21" s="85" t="s">
        <v>77</v>
      </c>
      <c r="J21" s="85" t="s">
        <v>77</v>
      </c>
      <c r="T21" s="85"/>
      <c r="U21" s="85"/>
      <c r="V21" s="85"/>
      <c r="W21" s="85"/>
      <c r="X21" s="85"/>
      <c r="Y21" s="85"/>
      <c r="Z21" s="85"/>
      <c r="AA21" s="85"/>
      <c r="AB21" s="85"/>
      <c r="AG21" s="89">
        <f t="shared" si="0"/>
        <v>0</v>
      </c>
      <c r="AH21" s="89">
        <f t="shared" si="1"/>
        <v>0</v>
      </c>
      <c r="AI21" s="89">
        <f t="shared" si="2"/>
        <v>0</v>
      </c>
      <c r="AJ21">
        <f>+VALUE(A21)</f>
        <v>6190</v>
      </c>
      <c r="AK21" t="str">
        <f>+B21</f>
        <v>Truss (Prefab)</v>
      </c>
      <c r="AL21">
        <f>+VALUE(C21)</f>
        <v>15070</v>
      </c>
      <c r="AM21">
        <f>+VALUE(D21)</f>
        <v>0</v>
      </c>
      <c r="AN21">
        <f>+VALUE(E21)</f>
        <v>0</v>
      </c>
      <c r="AO21">
        <f>+VALUE(F21)</f>
        <v>19052</v>
      </c>
      <c r="AP21">
        <f>+VALUE(G21)</f>
        <v>0</v>
      </c>
      <c r="AQ21">
        <f>+VALUE(H21)</f>
        <v>0</v>
      </c>
      <c r="AR21">
        <f>+VALUE(I21)</f>
        <v>0</v>
      </c>
      <c r="AS21">
        <f>+VALUE(J21)</f>
        <v>0</v>
      </c>
      <c r="BC21" t="str">
        <f>+IF(LEN(T21)&gt;0,T21,"")</f>
        <v/>
      </c>
      <c r="BD21">
        <f>+U21</f>
        <v>0</v>
      </c>
      <c r="BE21">
        <f>+V21</f>
        <v>0</v>
      </c>
      <c r="BF21">
        <f>+VALUE(W21)</f>
        <v>0</v>
      </c>
      <c r="BG21">
        <f>+VALUE(X21)</f>
        <v>0</v>
      </c>
      <c r="BH21">
        <f>+VALUE(Y21)</f>
        <v>0</v>
      </c>
      <c r="BI21">
        <f>+VALUE(Z21)</f>
        <v>0</v>
      </c>
    </row>
    <row r="22" spans="1:61">
      <c r="A22" s="85" t="s">
        <v>171</v>
      </c>
      <c r="B22" s="85" t="s">
        <v>172</v>
      </c>
      <c r="C22" s="85" t="s">
        <v>173</v>
      </c>
      <c r="D22" s="85"/>
      <c r="E22" s="85" t="s">
        <v>77</v>
      </c>
      <c r="F22" s="85" t="s">
        <v>174</v>
      </c>
      <c r="G22" s="85" t="s">
        <v>77</v>
      </c>
      <c r="H22" s="85" t="s">
        <v>175</v>
      </c>
      <c r="I22" s="85" t="s">
        <v>77</v>
      </c>
      <c r="J22" s="85" t="s">
        <v>77</v>
      </c>
      <c r="T22" s="85"/>
      <c r="U22" s="85"/>
      <c r="V22" s="85"/>
      <c r="W22" s="85"/>
      <c r="X22" s="85"/>
      <c r="Y22" s="85"/>
      <c r="Z22" s="85"/>
      <c r="AA22" s="85"/>
      <c r="AB22" s="85"/>
      <c r="AG22" s="89">
        <f t="shared" si="0"/>
        <v>0</v>
      </c>
      <c r="AH22" s="89">
        <f t="shared" si="1"/>
        <v>0</v>
      </c>
      <c r="AI22" s="89">
        <f t="shared" si="2"/>
        <v>0</v>
      </c>
      <c r="AJ22">
        <f>+VALUE(A22)</f>
        <v>6200</v>
      </c>
      <c r="AK22" t="str">
        <f>+B22</f>
        <v>Finish Carpentry</v>
      </c>
      <c r="AL22">
        <f>+VALUE(C22)</f>
        <v>8778</v>
      </c>
      <c r="AM22">
        <f>+VALUE(D22)</f>
        <v>0</v>
      </c>
      <c r="AN22">
        <f>+VALUE(E22)</f>
        <v>0</v>
      </c>
      <c r="AO22">
        <f>+VALUE(F22)</f>
        <v>10733</v>
      </c>
      <c r="AP22">
        <f>+VALUE(G22)</f>
        <v>0</v>
      </c>
      <c r="AQ22">
        <f>+VALUE(H22)</f>
        <v>5514.42</v>
      </c>
      <c r="AR22">
        <f>+VALUE(I22)</f>
        <v>0</v>
      </c>
      <c r="AS22">
        <f>+VALUE(J22)</f>
        <v>0</v>
      </c>
      <c r="BC22" t="str">
        <f>+IF(LEN(T22)&gt;0,T22,"")</f>
        <v/>
      </c>
      <c r="BD22">
        <f>+U22</f>
        <v>0</v>
      </c>
      <c r="BE22">
        <f>+V22</f>
        <v>0</v>
      </c>
      <c r="BF22">
        <f>+VALUE(W22)</f>
        <v>0</v>
      </c>
      <c r="BG22">
        <f>+VALUE(X22)</f>
        <v>0</v>
      </c>
      <c r="BH22">
        <f>+VALUE(Y22)</f>
        <v>0</v>
      </c>
      <c r="BI22">
        <f>+VALUE(Z22)</f>
        <v>0</v>
      </c>
    </row>
    <row r="23" spans="1:61">
      <c r="A23" s="85" t="s">
        <v>176</v>
      </c>
      <c r="B23" s="85" t="s">
        <v>177</v>
      </c>
      <c r="C23" s="85" t="s">
        <v>77</v>
      </c>
      <c r="D23" s="85"/>
      <c r="E23" s="85" t="s">
        <v>77</v>
      </c>
      <c r="F23" s="85" t="s">
        <v>77</v>
      </c>
      <c r="G23" s="85" t="s">
        <v>77</v>
      </c>
      <c r="H23" s="85" t="s">
        <v>178</v>
      </c>
      <c r="I23" s="85" t="s">
        <v>77</v>
      </c>
      <c r="J23" s="85" t="s">
        <v>77</v>
      </c>
      <c r="T23" s="85"/>
      <c r="U23" s="85"/>
      <c r="V23" s="85"/>
      <c r="W23" s="85"/>
      <c r="X23" s="85"/>
      <c r="Y23" s="85"/>
      <c r="Z23" s="85"/>
      <c r="AA23" s="85"/>
      <c r="AB23" s="85"/>
      <c r="AG23" s="89">
        <f t="shared" si="0"/>
        <v>0</v>
      </c>
      <c r="AH23" s="89">
        <f t="shared" si="1"/>
        <v>0</v>
      </c>
      <c r="AI23" s="89">
        <f t="shared" si="2"/>
        <v>0</v>
      </c>
      <c r="AJ23">
        <f>+VALUE(A23)</f>
        <v>6400</v>
      </c>
      <c r="AK23" t="str">
        <f>+B23</f>
        <v>Custom Casework</v>
      </c>
      <c r="AL23">
        <f>+VALUE(C23)</f>
        <v>0</v>
      </c>
      <c r="AM23">
        <f>+VALUE(D23)</f>
        <v>0</v>
      </c>
      <c r="AN23">
        <f>+VALUE(E23)</f>
        <v>0</v>
      </c>
      <c r="AO23">
        <f>+VALUE(F23)</f>
        <v>0</v>
      </c>
      <c r="AP23">
        <f>+VALUE(G23)</f>
        <v>0</v>
      </c>
      <c r="AQ23">
        <f>+VALUE(H23)</f>
        <v>732.54</v>
      </c>
      <c r="AR23">
        <f>+VALUE(I23)</f>
        <v>0</v>
      </c>
      <c r="AS23">
        <f>+VALUE(J23)</f>
        <v>0</v>
      </c>
      <c r="BC23" t="str">
        <f>+IF(LEN(T23)&gt;0,T23,"")</f>
        <v/>
      </c>
      <c r="BD23">
        <f>+U23</f>
        <v>0</v>
      </c>
      <c r="BE23">
        <f>+V23</f>
        <v>0</v>
      </c>
      <c r="BF23">
        <f>+VALUE(W23)</f>
        <v>0</v>
      </c>
      <c r="BG23">
        <f>+VALUE(X23)</f>
        <v>0</v>
      </c>
      <c r="BH23">
        <f>+VALUE(Y23)</f>
        <v>0</v>
      </c>
      <c r="BI23">
        <f>+VALUE(Z23)</f>
        <v>0</v>
      </c>
    </row>
    <row r="24" spans="1:61">
      <c r="A24" s="85" t="s">
        <v>179</v>
      </c>
      <c r="B24" s="85" t="s">
        <v>180</v>
      </c>
      <c r="C24" s="85" t="s">
        <v>181</v>
      </c>
      <c r="D24" s="85"/>
      <c r="E24" s="85" t="s">
        <v>77</v>
      </c>
      <c r="F24" s="85" t="s">
        <v>182</v>
      </c>
      <c r="G24" s="85" t="s">
        <v>77</v>
      </c>
      <c r="H24" s="85" t="s">
        <v>183</v>
      </c>
      <c r="I24" s="85" t="s">
        <v>77</v>
      </c>
      <c r="J24" s="85" t="s">
        <v>77</v>
      </c>
      <c r="T24" s="85"/>
      <c r="U24" s="85"/>
      <c r="V24" s="85"/>
      <c r="W24" s="85"/>
      <c r="X24" s="85"/>
      <c r="Y24" s="85"/>
      <c r="Z24" s="85"/>
      <c r="AA24" s="85"/>
      <c r="AB24" s="85"/>
      <c r="AG24" s="89">
        <f t="shared" si="0"/>
        <v>0</v>
      </c>
      <c r="AH24" s="89">
        <f t="shared" si="1"/>
        <v>0</v>
      </c>
      <c r="AI24" s="89">
        <f t="shared" si="2"/>
        <v>0</v>
      </c>
      <c r="AJ24">
        <f>+VALUE(A24)</f>
        <v>6700</v>
      </c>
      <c r="AK24" t="str">
        <f>+B24</f>
        <v>Rough Hardware</v>
      </c>
      <c r="AL24">
        <f>+VALUE(C24)</f>
        <v>655</v>
      </c>
      <c r="AM24">
        <f>+VALUE(D24)</f>
        <v>0</v>
      </c>
      <c r="AN24">
        <f>+VALUE(E24)</f>
        <v>0</v>
      </c>
      <c r="AO24">
        <f>+VALUE(F24)</f>
        <v>829</v>
      </c>
      <c r="AP24">
        <f>+VALUE(G24)</f>
        <v>0</v>
      </c>
      <c r="AQ24">
        <f>+VALUE(H24)</f>
        <v>0.95</v>
      </c>
      <c r="AR24">
        <f>+VALUE(I24)</f>
        <v>0</v>
      </c>
      <c r="AS24">
        <f>+VALUE(J24)</f>
        <v>0</v>
      </c>
      <c r="BC24" t="str">
        <f>+IF(LEN(T24)&gt;0,T24,"")</f>
        <v/>
      </c>
      <c r="BD24">
        <f>+U24</f>
        <v>0</v>
      </c>
      <c r="BE24">
        <f>+V24</f>
        <v>0</v>
      </c>
      <c r="BF24">
        <f>+VALUE(W24)</f>
        <v>0</v>
      </c>
      <c r="BG24">
        <f>+VALUE(X24)</f>
        <v>0</v>
      </c>
      <c r="BH24">
        <f>+VALUE(Y24)</f>
        <v>0</v>
      </c>
      <c r="BI24">
        <f>+VALUE(Z24)</f>
        <v>0</v>
      </c>
    </row>
    <row r="25" spans="1:61">
      <c r="A25" s="85" t="s">
        <v>184</v>
      </c>
      <c r="B25" s="85" t="s">
        <v>185</v>
      </c>
      <c r="C25" s="85" t="s">
        <v>186</v>
      </c>
      <c r="D25" s="85"/>
      <c r="E25" s="85" t="s">
        <v>77</v>
      </c>
      <c r="F25" s="85" t="s">
        <v>187</v>
      </c>
      <c r="G25" s="85" t="s">
        <v>77</v>
      </c>
      <c r="H25" s="85" t="s">
        <v>188</v>
      </c>
      <c r="I25" s="85" t="s">
        <v>77</v>
      </c>
      <c r="J25" s="85" t="s">
        <v>77</v>
      </c>
      <c r="T25" s="85"/>
      <c r="U25" s="85"/>
      <c r="V25" s="85"/>
      <c r="W25" s="85"/>
      <c r="X25" s="85"/>
      <c r="Y25" s="85"/>
      <c r="Z25" s="85"/>
      <c r="AA25" s="85"/>
      <c r="AB25" s="85"/>
      <c r="AG25" s="89">
        <f t="shared" si="0"/>
        <v>0</v>
      </c>
      <c r="AH25" s="89">
        <f t="shared" si="1"/>
        <v>0</v>
      </c>
      <c r="AI25" s="89">
        <f t="shared" si="2"/>
        <v>0</v>
      </c>
      <c r="AJ25">
        <f>+VALUE(A25)</f>
        <v>7000</v>
      </c>
      <c r="AK25" t="str">
        <f>+B25</f>
        <v>THERMAL &amp; MOISTURE</v>
      </c>
      <c r="AL25">
        <f>+VALUE(C25)</f>
        <v>24</v>
      </c>
      <c r="AM25">
        <f>+VALUE(D25)</f>
        <v>0</v>
      </c>
      <c r="AN25">
        <f>+VALUE(E25)</f>
        <v>0</v>
      </c>
      <c r="AO25">
        <f>+VALUE(F25)</f>
        <v>30</v>
      </c>
      <c r="AP25">
        <f>+VALUE(G25)</f>
        <v>0</v>
      </c>
      <c r="AQ25">
        <f>+VALUE(H25)</f>
        <v>25.2</v>
      </c>
      <c r="AR25">
        <f>+VALUE(I25)</f>
        <v>0</v>
      </c>
      <c r="AS25">
        <f>+VALUE(J25)</f>
        <v>0</v>
      </c>
      <c r="BC25" t="str">
        <f>+IF(LEN(T25)&gt;0,T25,"")</f>
        <v/>
      </c>
      <c r="BD25">
        <f>+U25</f>
        <v>0</v>
      </c>
      <c r="BE25">
        <f>+V25</f>
        <v>0</v>
      </c>
      <c r="BF25">
        <f>+VALUE(W25)</f>
        <v>0</v>
      </c>
      <c r="BG25">
        <f>+VALUE(X25)</f>
        <v>0</v>
      </c>
      <c r="BH25">
        <f>+VALUE(Y25)</f>
        <v>0</v>
      </c>
      <c r="BI25">
        <f>+VALUE(Z25)</f>
        <v>0</v>
      </c>
    </row>
    <row r="26" spans="1:61">
      <c r="A26" s="85" t="s">
        <v>189</v>
      </c>
      <c r="B26" s="85" t="s">
        <v>190</v>
      </c>
      <c r="C26" s="85" t="s">
        <v>191</v>
      </c>
      <c r="D26" s="85"/>
      <c r="E26" s="85" t="s">
        <v>77</v>
      </c>
      <c r="F26" s="85" t="s">
        <v>192</v>
      </c>
      <c r="G26" s="85" t="s">
        <v>77</v>
      </c>
      <c r="H26" s="85" t="s">
        <v>77</v>
      </c>
      <c r="I26" s="85" t="s">
        <v>77</v>
      </c>
      <c r="J26" s="85" t="s">
        <v>77</v>
      </c>
      <c r="T26" s="85"/>
      <c r="U26" s="85"/>
      <c r="V26" s="85"/>
      <c r="W26" s="85"/>
      <c r="X26" s="85"/>
      <c r="Y26" s="85"/>
      <c r="Z26" s="85"/>
      <c r="AA26" s="85"/>
      <c r="AB26" s="85"/>
      <c r="AG26" s="89">
        <f t="shared" si="0"/>
        <v>0</v>
      </c>
      <c r="AH26" s="89">
        <f t="shared" si="1"/>
        <v>0</v>
      </c>
      <c r="AI26" s="89">
        <f t="shared" si="2"/>
        <v>0</v>
      </c>
      <c r="AJ26">
        <f>+VALUE(A26)</f>
        <v>7200</v>
      </c>
      <c r="AK26" t="str">
        <f>+B26</f>
        <v>Insulation</v>
      </c>
      <c r="AL26">
        <f>+VALUE(C26)</f>
        <v>4180</v>
      </c>
      <c r="AM26">
        <f>+VALUE(D26)</f>
        <v>0</v>
      </c>
      <c r="AN26">
        <f>+VALUE(E26)</f>
        <v>0</v>
      </c>
      <c r="AO26">
        <f>+VALUE(F26)</f>
        <v>4916</v>
      </c>
      <c r="AP26">
        <f>+VALUE(G26)</f>
        <v>0</v>
      </c>
      <c r="AQ26">
        <f>+VALUE(H26)</f>
        <v>0</v>
      </c>
      <c r="AR26">
        <f>+VALUE(I26)</f>
        <v>0</v>
      </c>
      <c r="AS26">
        <f>+VALUE(J26)</f>
        <v>0</v>
      </c>
      <c r="BC26" t="str">
        <f>+IF(LEN(T26)&gt;0,T26,"")</f>
        <v/>
      </c>
      <c r="BD26">
        <f>+U26</f>
        <v>0</v>
      </c>
      <c r="BE26">
        <f>+V26</f>
        <v>0</v>
      </c>
      <c r="BF26">
        <f>+VALUE(W26)</f>
        <v>0</v>
      </c>
      <c r="BG26">
        <f>+VALUE(X26)</f>
        <v>0</v>
      </c>
      <c r="BH26">
        <f>+VALUE(Y26)</f>
        <v>0</v>
      </c>
      <c r="BI26">
        <f>+VALUE(Z26)</f>
        <v>0</v>
      </c>
    </row>
    <row r="27" spans="1:61">
      <c r="A27" s="85" t="s">
        <v>193</v>
      </c>
      <c r="B27" s="85" t="s">
        <v>194</v>
      </c>
      <c r="C27" s="85" t="s">
        <v>195</v>
      </c>
      <c r="D27" s="85"/>
      <c r="E27" s="85" t="s">
        <v>77</v>
      </c>
      <c r="F27" s="85" t="s">
        <v>196</v>
      </c>
      <c r="G27" s="85" t="s">
        <v>77</v>
      </c>
      <c r="H27" s="85" t="s">
        <v>195</v>
      </c>
      <c r="I27" s="85" t="s">
        <v>77</v>
      </c>
      <c r="J27" s="85" t="s">
        <v>77</v>
      </c>
      <c r="T27" s="85"/>
      <c r="U27" s="85"/>
      <c r="V27" s="85"/>
      <c r="W27" s="85"/>
      <c r="X27" s="85"/>
      <c r="Y27" s="85"/>
      <c r="Z27" s="85"/>
      <c r="AA27" s="85"/>
      <c r="AB27" s="85"/>
      <c r="AG27" s="89">
        <f t="shared" si="0"/>
        <v>0</v>
      </c>
      <c r="AH27" s="89">
        <f t="shared" si="1"/>
        <v>0</v>
      </c>
      <c r="AI27" s="89">
        <f t="shared" si="2"/>
        <v>0</v>
      </c>
      <c r="AJ27">
        <f>+VALUE(A27)</f>
        <v>7300</v>
      </c>
      <c r="AK27" t="str">
        <f>+B27</f>
        <v>Roofing</v>
      </c>
      <c r="AL27">
        <f>+VALUE(C27)</f>
        <v>9850</v>
      </c>
      <c r="AM27">
        <f>+VALUE(D27)</f>
        <v>0</v>
      </c>
      <c r="AN27">
        <f>+VALUE(E27)</f>
        <v>0</v>
      </c>
      <c r="AO27">
        <f>+VALUE(F27)</f>
        <v>11584</v>
      </c>
      <c r="AP27">
        <f>+VALUE(G27)</f>
        <v>0</v>
      </c>
      <c r="AQ27">
        <f>+VALUE(H27)</f>
        <v>9850</v>
      </c>
      <c r="AR27">
        <f>+VALUE(I27)</f>
        <v>0</v>
      </c>
      <c r="AS27">
        <f>+VALUE(J27)</f>
        <v>0</v>
      </c>
      <c r="BC27" t="str">
        <f>+IF(LEN(T27)&gt;0,T27,"")</f>
        <v/>
      </c>
      <c r="BD27">
        <f>+U27</f>
        <v>0</v>
      </c>
      <c r="BE27">
        <f>+V27</f>
        <v>0</v>
      </c>
      <c r="BF27">
        <f>+VALUE(W27)</f>
        <v>0</v>
      </c>
      <c r="BG27">
        <f>+VALUE(X27)</f>
        <v>0</v>
      </c>
      <c r="BH27">
        <f>+VALUE(Y27)</f>
        <v>0</v>
      </c>
      <c r="BI27">
        <f>+VALUE(Z27)</f>
        <v>0</v>
      </c>
    </row>
    <row r="28" spans="1:61">
      <c r="A28" s="85" t="s">
        <v>197</v>
      </c>
      <c r="B28" s="85" t="s">
        <v>198</v>
      </c>
      <c r="C28" s="85" t="s">
        <v>199</v>
      </c>
      <c r="D28" s="85"/>
      <c r="E28" s="85" t="s">
        <v>77</v>
      </c>
      <c r="F28" s="85" t="s">
        <v>200</v>
      </c>
      <c r="G28" s="85" t="s">
        <v>77</v>
      </c>
      <c r="H28" s="85" t="s">
        <v>77</v>
      </c>
      <c r="I28" s="85" t="s">
        <v>77</v>
      </c>
      <c r="J28" s="85" t="s">
        <v>77</v>
      </c>
      <c r="T28" s="85"/>
      <c r="U28" s="85"/>
      <c r="V28" s="85"/>
      <c r="W28" s="85"/>
      <c r="X28" s="85"/>
      <c r="Y28" s="85"/>
      <c r="Z28" s="85"/>
      <c r="AA28" s="85"/>
      <c r="AB28" s="85"/>
      <c r="AG28" s="89">
        <f t="shared" si="0"/>
        <v>0</v>
      </c>
      <c r="AH28" s="89">
        <f t="shared" si="1"/>
        <v>0</v>
      </c>
      <c r="AI28" s="89">
        <f t="shared" si="2"/>
        <v>0</v>
      </c>
      <c r="AJ28">
        <f>+VALUE(A28)</f>
        <v>8100</v>
      </c>
      <c r="AK28" t="str">
        <f>+B28</f>
        <v>Metal Doors &amp; Frames</v>
      </c>
      <c r="AL28">
        <f>+VALUE(C28)</f>
        <v>7507</v>
      </c>
      <c r="AM28">
        <f>+VALUE(D28)</f>
        <v>0</v>
      </c>
      <c r="AN28">
        <f>+VALUE(E28)</f>
        <v>0</v>
      </c>
      <c r="AO28">
        <f>+VALUE(F28)</f>
        <v>9246</v>
      </c>
      <c r="AP28">
        <f>+VALUE(G28)</f>
        <v>0</v>
      </c>
      <c r="AQ28">
        <f>+VALUE(H28)</f>
        <v>0</v>
      </c>
      <c r="AR28">
        <f>+VALUE(I28)</f>
        <v>0</v>
      </c>
      <c r="AS28">
        <f>+VALUE(J28)</f>
        <v>0</v>
      </c>
      <c r="BC28" t="str">
        <f>+IF(LEN(T28)&gt;0,T28,"")</f>
        <v/>
      </c>
      <c r="BD28">
        <f>+U28</f>
        <v>0</v>
      </c>
      <c r="BE28">
        <f>+V28</f>
        <v>0</v>
      </c>
      <c r="BF28">
        <f>+VALUE(W28)</f>
        <v>0</v>
      </c>
      <c r="BG28">
        <f>+VALUE(X28)</f>
        <v>0</v>
      </c>
      <c r="BH28">
        <f>+VALUE(Y28)</f>
        <v>0</v>
      </c>
      <c r="BI28">
        <f>+VALUE(Z28)</f>
        <v>0</v>
      </c>
    </row>
    <row r="29" spans="1:61">
      <c r="A29" s="85" t="s">
        <v>201</v>
      </c>
      <c r="B29" s="85" t="s">
        <v>202</v>
      </c>
      <c r="C29" s="85" t="s">
        <v>203</v>
      </c>
      <c r="D29" s="85"/>
      <c r="E29" s="85" t="s">
        <v>77</v>
      </c>
      <c r="F29" s="85" t="s">
        <v>204</v>
      </c>
      <c r="G29" s="85" t="s">
        <v>77</v>
      </c>
      <c r="H29" s="85" t="s">
        <v>77</v>
      </c>
      <c r="I29" s="85" t="s">
        <v>77</v>
      </c>
      <c r="J29" s="85" t="s">
        <v>77</v>
      </c>
      <c r="T29" s="85"/>
      <c r="U29" s="85"/>
      <c r="V29" s="85"/>
      <c r="W29" s="85"/>
      <c r="X29" s="85"/>
      <c r="Y29" s="85"/>
      <c r="Z29" s="85"/>
      <c r="AA29" s="85"/>
      <c r="AB29" s="85"/>
      <c r="AG29" s="89">
        <f t="shared" si="0"/>
        <v>0</v>
      </c>
      <c r="AH29" s="89">
        <f t="shared" si="1"/>
        <v>0</v>
      </c>
      <c r="AI29" s="89">
        <f t="shared" si="2"/>
        <v>0</v>
      </c>
      <c r="AJ29">
        <f>+VALUE(A29)</f>
        <v>8500</v>
      </c>
      <c r="AK29" t="str">
        <f>+B29</f>
        <v>Windows</v>
      </c>
      <c r="AL29">
        <f>+VALUE(C29)</f>
        <v>19821</v>
      </c>
      <c r="AM29">
        <f>+VALUE(D29)</f>
        <v>0</v>
      </c>
      <c r="AN29">
        <f>+VALUE(E29)</f>
        <v>0</v>
      </c>
      <c r="AO29">
        <f>+VALUE(F29)</f>
        <v>23310</v>
      </c>
      <c r="AP29">
        <f>+VALUE(G29)</f>
        <v>0</v>
      </c>
      <c r="AQ29">
        <f>+VALUE(H29)</f>
        <v>0</v>
      </c>
      <c r="AR29">
        <f>+VALUE(I29)</f>
        <v>0</v>
      </c>
      <c r="AS29">
        <f>+VALUE(J29)</f>
        <v>0</v>
      </c>
      <c r="BC29" t="str">
        <f>+IF(LEN(T29)&gt;0,T29,"")</f>
        <v/>
      </c>
      <c r="BD29">
        <f>+U29</f>
        <v>0</v>
      </c>
      <c r="BE29">
        <f>+V29</f>
        <v>0</v>
      </c>
      <c r="BF29">
        <f>+VALUE(W29)</f>
        <v>0</v>
      </c>
      <c r="BG29">
        <f>+VALUE(X29)</f>
        <v>0</v>
      </c>
      <c r="BH29">
        <f>+VALUE(Y29)</f>
        <v>0</v>
      </c>
      <c r="BI29">
        <f>+VALUE(Z29)</f>
        <v>0</v>
      </c>
    </row>
    <row r="30" spans="1:61">
      <c r="A30" s="85" t="s">
        <v>205</v>
      </c>
      <c r="B30" s="85" t="s">
        <v>206</v>
      </c>
      <c r="C30" s="85" t="s">
        <v>77</v>
      </c>
      <c r="D30" s="85"/>
      <c r="E30" s="85" t="s">
        <v>77</v>
      </c>
      <c r="F30" s="85" t="s">
        <v>77</v>
      </c>
      <c r="G30" s="85" t="s">
        <v>77</v>
      </c>
      <c r="H30" s="85" t="s">
        <v>207</v>
      </c>
      <c r="I30" s="85" t="s">
        <v>77</v>
      </c>
      <c r="J30" s="85" t="s">
        <v>77</v>
      </c>
      <c r="T30" s="85"/>
      <c r="U30" s="85"/>
      <c r="V30" s="85"/>
      <c r="W30" s="85"/>
      <c r="X30" s="85"/>
      <c r="Y30" s="85"/>
      <c r="Z30" s="85"/>
      <c r="AA30" s="85"/>
      <c r="AB30" s="85"/>
      <c r="AG30" s="89">
        <f t="shared" si="0"/>
        <v>0</v>
      </c>
      <c r="AH30" s="89">
        <f t="shared" si="1"/>
        <v>0</v>
      </c>
      <c r="AI30" s="89">
        <f t="shared" si="2"/>
        <v>0</v>
      </c>
      <c r="AJ30">
        <f>+VALUE(A30)</f>
        <v>9000</v>
      </c>
      <c r="AK30" t="str">
        <f>+B30</f>
        <v>FINISHES</v>
      </c>
      <c r="AL30">
        <f>+VALUE(C30)</f>
        <v>0</v>
      </c>
      <c r="AM30">
        <f>+VALUE(D30)</f>
        <v>0</v>
      </c>
      <c r="AN30">
        <f>+VALUE(E30)</f>
        <v>0</v>
      </c>
      <c r="AO30">
        <f>+VALUE(F30)</f>
        <v>0</v>
      </c>
      <c r="AP30">
        <f>+VALUE(G30)</f>
        <v>0</v>
      </c>
      <c r="AQ30">
        <f>+VALUE(H30)</f>
        <v>9309</v>
      </c>
      <c r="AR30">
        <f>+VALUE(I30)</f>
        <v>0</v>
      </c>
      <c r="AS30">
        <f>+VALUE(J30)</f>
        <v>0</v>
      </c>
      <c r="BC30" t="str">
        <f>+IF(LEN(T30)&gt;0,T30,"")</f>
        <v/>
      </c>
      <c r="BD30">
        <f>+U30</f>
        <v>0</v>
      </c>
      <c r="BE30">
        <f>+V30</f>
        <v>0</v>
      </c>
      <c r="BF30">
        <f>+VALUE(W30)</f>
        <v>0</v>
      </c>
      <c r="BG30">
        <f>+VALUE(X30)</f>
        <v>0</v>
      </c>
      <c r="BH30">
        <f>+VALUE(Y30)</f>
        <v>0</v>
      </c>
      <c r="BI30">
        <f>+VALUE(Z30)</f>
        <v>0</v>
      </c>
    </row>
    <row r="31" spans="1:61">
      <c r="A31" s="85" t="s">
        <v>208</v>
      </c>
      <c r="B31" s="85" t="s">
        <v>209</v>
      </c>
      <c r="C31" s="85" t="s">
        <v>210</v>
      </c>
      <c r="D31" s="85"/>
      <c r="E31" s="85" t="s">
        <v>88</v>
      </c>
      <c r="F31" s="85" t="s">
        <v>211</v>
      </c>
      <c r="G31" s="85" t="s">
        <v>77</v>
      </c>
      <c r="H31" s="85" t="s">
        <v>212</v>
      </c>
      <c r="I31" s="85" t="s">
        <v>77</v>
      </c>
      <c r="J31" s="85" t="s">
        <v>77</v>
      </c>
      <c r="T31" s="85"/>
      <c r="U31" s="85"/>
      <c r="V31" s="85"/>
      <c r="W31" s="85"/>
      <c r="X31" s="85"/>
      <c r="Y31" s="85"/>
      <c r="Z31" s="85"/>
      <c r="AA31" s="85"/>
      <c r="AB31" s="85"/>
      <c r="AG31" s="89">
        <f t="shared" si="0"/>
        <v>0</v>
      </c>
      <c r="AH31" s="89">
        <f t="shared" si="1"/>
        <v>0</v>
      </c>
      <c r="AI31" s="89">
        <f t="shared" si="2"/>
        <v>0</v>
      </c>
      <c r="AJ31">
        <f>+VALUE(A31)</f>
        <v>9100</v>
      </c>
      <c r="AK31" t="str">
        <f>+B31</f>
        <v>Stucco</v>
      </c>
      <c r="AL31">
        <f>+VALUE(C31)</f>
        <v>13761</v>
      </c>
      <c r="AM31">
        <f>+VALUE(D31)</f>
        <v>0</v>
      </c>
      <c r="AN31">
        <f>+VALUE(E31)</f>
        <v>790</v>
      </c>
      <c r="AO31">
        <f>+VALUE(F31)</f>
        <v>16183</v>
      </c>
      <c r="AP31">
        <f>+VALUE(G31)</f>
        <v>0</v>
      </c>
      <c r="AQ31">
        <f>+VALUE(H31)</f>
        <v>14551</v>
      </c>
      <c r="AR31">
        <f>+VALUE(I31)</f>
        <v>0</v>
      </c>
      <c r="AS31">
        <f>+VALUE(J31)</f>
        <v>0</v>
      </c>
      <c r="BC31" t="str">
        <f>+IF(LEN(T31)&gt;0,T31,"")</f>
        <v/>
      </c>
      <c r="BD31">
        <f>+U31</f>
        <v>0</v>
      </c>
      <c r="BE31">
        <f>+V31</f>
        <v>0</v>
      </c>
      <c r="BF31">
        <f>+VALUE(W31)</f>
        <v>0</v>
      </c>
      <c r="BG31">
        <f>+VALUE(X31)</f>
        <v>0</v>
      </c>
      <c r="BH31">
        <f>+VALUE(Y31)</f>
        <v>0</v>
      </c>
      <c r="BI31">
        <f>+VALUE(Z31)</f>
        <v>0</v>
      </c>
    </row>
    <row r="32" spans="1:61">
      <c r="A32" s="85" t="s">
        <v>213</v>
      </c>
      <c r="B32" s="85" t="s">
        <v>214</v>
      </c>
      <c r="C32" s="85" t="s">
        <v>207</v>
      </c>
      <c r="D32" s="85"/>
      <c r="E32" s="85" t="s">
        <v>77</v>
      </c>
      <c r="F32" s="85" t="s">
        <v>215</v>
      </c>
      <c r="G32" s="85" t="s">
        <v>77</v>
      </c>
      <c r="H32" s="85" t="s">
        <v>77</v>
      </c>
      <c r="I32" s="85" t="s">
        <v>77</v>
      </c>
      <c r="J32" s="85" t="s">
        <v>77</v>
      </c>
      <c r="T32" s="85"/>
      <c r="U32" s="85"/>
      <c r="V32" s="85"/>
      <c r="W32" s="85"/>
      <c r="X32" s="85"/>
      <c r="Y32" s="85"/>
      <c r="Z32" s="85"/>
      <c r="AA32" s="85"/>
      <c r="AB32" s="85"/>
      <c r="AG32" s="89">
        <f t="shared" si="0"/>
        <v>0</v>
      </c>
      <c r="AH32" s="89">
        <f t="shared" si="1"/>
        <v>0</v>
      </c>
      <c r="AI32" s="89">
        <f t="shared" si="2"/>
        <v>0</v>
      </c>
      <c r="AJ32">
        <f>+VALUE(A32)</f>
        <v>9250</v>
      </c>
      <c r="AK32" t="str">
        <f>+B32</f>
        <v>Gypsum Board</v>
      </c>
      <c r="AL32">
        <f>+VALUE(C32)</f>
        <v>9309</v>
      </c>
      <c r="AM32">
        <f>+VALUE(D32)</f>
        <v>0</v>
      </c>
      <c r="AN32">
        <f>+VALUE(E32)</f>
        <v>0</v>
      </c>
      <c r="AO32">
        <f>+VALUE(F32)</f>
        <v>10948</v>
      </c>
      <c r="AP32">
        <f>+VALUE(G32)</f>
        <v>0</v>
      </c>
      <c r="AQ32">
        <f>+VALUE(H32)</f>
        <v>0</v>
      </c>
      <c r="AR32">
        <f>+VALUE(I32)</f>
        <v>0</v>
      </c>
      <c r="AS32">
        <f>+VALUE(J32)</f>
        <v>0</v>
      </c>
      <c r="BC32" t="str">
        <f>+IF(LEN(T32)&gt;0,T32,"")</f>
        <v/>
      </c>
      <c r="BD32">
        <f>+U32</f>
        <v>0</v>
      </c>
      <c r="BE32">
        <f>+V32</f>
        <v>0</v>
      </c>
      <c r="BF32">
        <f>+VALUE(W32)</f>
        <v>0</v>
      </c>
      <c r="BG32">
        <f>+VALUE(X32)</f>
        <v>0</v>
      </c>
      <c r="BH32">
        <f>+VALUE(Y32)</f>
        <v>0</v>
      </c>
      <c r="BI32">
        <f>+VALUE(Z32)</f>
        <v>0</v>
      </c>
    </row>
    <row r="33" spans="1:61">
      <c r="A33" s="85" t="s">
        <v>216</v>
      </c>
      <c r="B33" s="85" t="s">
        <v>217</v>
      </c>
      <c r="C33" s="85" t="s">
        <v>218</v>
      </c>
      <c r="D33" s="85"/>
      <c r="E33" s="85" t="s">
        <v>219</v>
      </c>
      <c r="F33" s="85" t="s">
        <v>220</v>
      </c>
      <c r="G33" s="85" t="s">
        <v>77</v>
      </c>
      <c r="H33" s="85" t="s">
        <v>221</v>
      </c>
      <c r="I33" s="85" t="s">
        <v>77</v>
      </c>
      <c r="J33" s="85" t="s">
        <v>77</v>
      </c>
      <c r="T33" s="85"/>
      <c r="U33" s="85"/>
      <c r="V33" s="85"/>
      <c r="W33" s="85"/>
      <c r="X33" s="85"/>
      <c r="Y33" s="85"/>
      <c r="Z33" s="85"/>
      <c r="AA33" s="85"/>
      <c r="AB33" s="85"/>
      <c r="AG33" s="89">
        <f t="shared" si="0"/>
        <v>0</v>
      </c>
      <c r="AH33" s="89">
        <f t="shared" si="1"/>
        <v>0</v>
      </c>
      <c r="AI33" s="89">
        <f t="shared" si="2"/>
        <v>0</v>
      </c>
      <c r="AJ33">
        <f>+VALUE(A33)</f>
        <v>9300</v>
      </c>
      <c r="AK33" t="str">
        <f>+B33</f>
        <v>Ceramic Tile</v>
      </c>
      <c r="AL33">
        <f>+VALUE(C33)</f>
        <v>1745</v>
      </c>
      <c r="AM33">
        <f>+VALUE(D33)</f>
        <v>0</v>
      </c>
      <c r="AN33">
        <f>+VALUE(E33)</f>
        <v>50</v>
      </c>
      <c r="AO33">
        <f>+VALUE(F33)</f>
        <v>2052</v>
      </c>
      <c r="AP33">
        <f>+VALUE(G33)</f>
        <v>0</v>
      </c>
      <c r="AQ33">
        <f>+VALUE(H33)</f>
        <v>1795</v>
      </c>
      <c r="AR33">
        <f>+VALUE(I33)</f>
        <v>0</v>
      </c>
      <c r="AS33">
        <f>+VALUE(J33)</f>
        <v>0</v>
      </c>
      <c r="BC33" t="str">
        <f>+IF(LEN(T33)&gt;0,T33,"")</f>
        <v/>
      </c>
      <c r="BD33">
        <f>+U33</f>
        <v>0</v>
      </c>
      <c r="BE33">
        <f>+V33</f>
        <v>0</v>
      </c>
      <c r="BF33">
        <f>+VALUE(W33)</f>
        <v>0</v>
      </c>
      <c r="BG33">
        <f>+VALUE(X33)</f>
        <v>0</v>
      </c>
      <c r="BH33">
        <f>+VALUE(Y33)</f>
        <v>0</v>
      </c>
      <c r="BI33">
        <f>+VALUE(Z33)</f>
        <v>0</v>
      </c>
    </row>
    <row r="34" spans="1:61">
      <c r="A34" s="85" t="s">
        <v>222</v>
      </c>
      <c r="B34" s="85" t="s">
        <v>223</v>
      </c>
      <c r="C34" s="85" t="s">
        <v>224</v>
      </c>
      <c r="D34" s="85"/>
      <c r="E34" s="85" t="s">
        <v>77</v>
      </c>
      <c r="F34" s="85" t="s">
        <v>225</v>
      </c>
      <c r="G34" s="85" t="s">
        <v>77</v>
      </c>
      <c r="H34" s="85" t="s">
        <v>224</v>
      </c>
      <c r="I34" s="85" t="s">
        <v>77</v>
      </c>
      <c r="J34" s="85" t="s">
        <v>77</v>
      </c>
      <c r="T34" s="85"/>
      <c r="U34" s="85"/>
      <c r="V34" s="85"/>
      <c r="W34" s="85"/>
      <c r="X34" s="85"/>
      <c r="Y34" s="85"/>
      <c r="Z34" s="85"/>
      <c r="AA34" s="85"/>
      <c r="AB34" s="85"/>
      <c r="AG34" s="89">
        <f t="shared" ref="AG34:AG65" si="3">+IF(AJ34=ParamCOCostCode,AQ34,0)</f>
        <v>0</v>
      </c>
      <c r="AH34" s="89">
        <f t="shared" ref="AH34:AH65" si="4">+IF(AJ34=ParamCOCostCode,AL34+AN34,0)</f>
        <v>0</v>
      </c>
      <c r="AI34" s="89">
        <f t="shared" ref="AI34:AI65" si="5">IF(AJ34=ParamCOCostCode,0,AP34)</f>
        <v>0</v>
      </c>
      <c r="AJ34">
        <f>+VALUE(A34)</f>
        <v>9500</v>
      </c>
      <c r="AK34" t="str">
        <f>+B34</f>
        <v>Acoustical Treatment</v>
      </c>
      <c r="AL34">
        <f>+VALUE(C34)</f>
        <v>2450</v>
      </c>
      <c r="AM34">
        <f>+VALUE(D34)</f>
        <v>0</v>
      </c>
      <c r="AN34">
        <f>+VALUE(E34)</f>
        <v>0</v>
      </c>
      <c r="AO34">
        <f>+VALUE(F34)</f>
        <v>2882</v>
      </c>
      <c r="AP34">
        <f>+VALUE(G34)</f>
        <v>0</v>
      </c>
      <c r="AQ34">
        <f>+VALUE(H34)</f>
        <v>2450</v>
      </c>
      <c r="AR34">
        <f>+VALUE(I34)</f>
        <v>0</v>
      </c>
      <c r="AS34">
        <f>+VALUE(J34)</f>
        <v>0</v>
      </c>
      <c r="BC34" t="str">
        <f>+IF(LEN(T34)&gt;0,T34,"")</f>
        <v/>
      </c>
      <c r="BD34">
        <f>+U34</f>
        <v>0</v>
      </c>
      <c r="BE34">
        <f>+V34</f>
        <v>0</v>
      </c>
      <c r="BF34">
        <f>+VALUE(W34)</f>
        <v>0</v>
      </c>
      <c r="BG34">
        <f>+VALUE(X34)</f>
        <v>0</v>
      </c>
      <c r="BH34">
        <f>+VALUE(Y34)</f>
        <v>0</v>
      </c>
      <c r="BI34">
        <f>+VALUE(Z34)</f>
        <v>0</v>
      </c>
    </row>
    <row r="35" spans="1:61">
      <c r="A35" s="85" t="s">
        <v>226</v>
      </c>
      <c r="B35" s="85" t="s">
        <v>227</v>
      </c>
      <c r="C35" s="85" t="s">
        <v>228</v>
      </c>
      <c r="D35" s="85"/>
      <c r="E35" s="85" t="s">
        <v>77</v>
      </c>
      <c r="F35" s="85" t="s">
        <v>229</v>
      </c>
      <c r="G35" s="85" t="s">
        <v>77</v>
      </c>
      <c r="H35" s="85" t="s">
        <v>228</v>
      </c>
      <c r="I35" s="85" t="s">
        <v>77</v>
      </c>
      <c r="J35" s="85" t="s">
        <v>77</v>
      </c>
      <c r="T35" s="85"/>
      <c r="U35" s="85"/>
      <c r="V35" s="85"/>
      <c r="W35" s="85"/>
      <c r="X35" s="85"/>
      <c r="Y35" s="85"/>
      <c r="Z35" s="85"/>
      <c r="AA35" s="85"/>
      <c r="AB35" s="85"/>
      <c r="AG35" s="89">
        <f t="shared" si="3"/>
        <v>0</v>
      </c>
      <c r="AH35" s="89">
        <f t="shared" si="4"/>
        <v>0</v>
      </c>
      <c r="AI35" s="89">
        <f t="shared" si="5"/>
        <v>0</v>
      </c>
      <c r="AJ35">
        <f>+VALUE(A35)</f>
        <v>9900</v>
      </c>
      <c r="AK35" t="str">
        <f>+B35</f>
        <v>Painting</v>
      </c>
      <c r="AL35">
        <f>+VALUE(C35)</f>
        <v>9255</v>
      </c>
      <c r="AM35">
        <f>+VALUE(D35)</f>
        <v>0</v>
      </c>
      <c r="AN35">
        <f>+VALUE(E35)</f>
        <v>0</v>
      </c>
      <c r="AO35">
        <f>+VALUE(F35)</f>
        <v>10884</v>
      </c>
      <c r="AP35">
        <f>+VALUE(G35)</f>
        <v>0</v>
      </c>
      <c r="AQ35">
        <f>+VALUE(H35)</f>
        <v>9255</v>
      </c>
      <c r="AR35">
        <f>+VALUE(I35)</f>
        <v>0</v>
      </c>
      <c r="AS35">
        <f>+VALUE(J35)</f>
        <v>0</v>
      </c>
      <c r="BC35" t="str">
        <f>+IF(LEN(T35)&gt;0,T35,"")</f>
        <v/>
      </c>
      <c r="BD35">
        <f>+U35</f>
        <v>0</v>
      </c>
      <c r="BE35">
        <f>+V35</f>
        <v>0</v>
      </c>
      <c r="BF35">
        <f>+VALUE(W35)</f>
        <v>0</v>
      </c>
      <c r="BG35">
        <f>+VALUE(X35)</f>
        <v>0</v>
      </c>
      <c r="BH35">
        <f>+VALUE(Y35)</f>
        <v>0</v>
      </c>
      <c r="BI35">
        <f>+VALUE(Z35)</f>
        <v>0</v>
      </c>
    </row>
    <row r="36" spans="1:61">
      <c r="A36" s="85" t="s">
        <v>230</v>
      </c>
      <c r="B36" s="85" t="s">
        <v>231</v>
      </c>
      <c r="C36" s="85" t="s">
        <v>77</v>
      </c>
      <c r="D36" s="85"/>
      <c r="E36" s="85" t="s">
        <v>77</v>
      </c>
      <c r="F36" s="85" t="s">
        <v>77</v>
      </c>
      <c r="G36" s="85" t="s">
        <v>77</v>
      </c>
      <c r="H36" s="85" t="s">
        <v>191</v>
      </c>
      <c r="I36" s="85" t="s">
        <v>77</v>
      </c>
      <c r="J36" s="85" t="s">
        <v>77</v>
      </c>
      <c r="T36" s="85"/>
      <c r="U36" s="85"/>
      <c r="V36" s="85"/>
      <c r="W36" s="85"/>
      <c r="X36" s="85"/>
      <c r="Y36" s="85"/>
      <c r="Z36" s="85"/>
      <c r="AA36" s="85"/>
      <c r="AB36" s="85"/>
      <c r="AG36" s="89">
        <f t="shared" si="3"/>
        <v>0</v>
      </c>
      <c r="AH36" s="89">
        <f t="shared" si="4"/>
        <v>0</v>
      </c>
      <c r="AI36" s="89">
        <f t="shared" si="5"/>
        <v>0</v>
      </c>
      <c r="AJ36">
        <f>+VALUE(A36)</f>
        <v>10300</v>
      </c>
      <c r="AK36" t="str">
        <f>+B36</f>
        <v>Fireplaces &amp; Stoves</v>
      </c>
      <c r="AL36">
        <f>+VALUE(C36)</f>
        <v>0</v>
      </c>
      <c r="AM36">
        <f>+VALUE(D36)</f>
        <v>0</v>
      </c>
      <c r="AN36">
        <f>+VALUE(E36)</f>
        <v>0</v>
      </c>
      <c r="AO36">
        <f>+VALUE(F36)</f>
        <v>0</v>
      </c>
      <c r="AP36">
        <f>+VALUE(G36)</f>
        <v>0</v>
      </c>
      <c r="AQ36">
        <f>+VALUE(H36)</f>
        <v>4180</v>
      </c>
      <c r="AR36">
        <f>+VALUE(I36)</f>
        <v>0</v>
      </c>
      <c r="AS36">
        <f>+VALUE(J36)</f>
        <v>0</v>
      </c>
      <c r="BC36" t="str">
        <f>+IF(LEN(T36)&gt;0,T36,"")</f>
        <v/>
      </c>
      <c r="BD36">
        <f>+U36</f>
        <v>0</v>
      </c>
      <c r="BE36">
        <f>+V36</f>
        <v>0</v>
      </c>
      <c r="BF36">
        <f>+VALUE(W36)</f>
        <v>0</v>
      </c>
      <c r="BG36">
        <f>+VALUE(X36)</f>
        <v>0</v>
      </c>
      <c r="BH36">
        <f>+VALUE(Y36)</f>
        <v>0</v>
      </c>
      <c r="BI36">
        <f>+VALUE(Z36)</f>
        <v>0</v>
      </c>
    </row>
    <row r="37" spans="1:61">
      <c r="A37" s="85" t="s">
        <v>232</v>
      </c>
      <c r="B37" s="85" t="s">
        <v>233</v>
      </c>
      <c r="C37" s="85" t="s">
        <v>234</v>
      </c>
      <c r="D37" s="85"/>
      <c r="E37" s="85" t="s">
        <v>77</v>
      </c>
      <c r="F37" s="85" t="s">
        <v>235</v>
      </c>
      <c r="G37" s="85" t="s">
        <v>77</v>
      </c>
      <c r="H37" s="85" t="s">
        <v>236</v>
      </c>
      <c r="I37" s="85" t="s">
        <v>77</v>
      </c>
      <c r="J37" s="85" t="s">
        <v>77</v>
      </c>
      <c r="T37" s="85"/>
      <c r="U37" s="85"/>
      <c r="V37" s="85"/>
      <c r="W37" s="85"/>
      <c r="X37" s="85"/>
      <c r="Y37" s="85"/>
      <c r="Z37" s="85"/>
      <c r="AA37" s="85"/>
      <c r="AB37" s="85"/>
      <c r="AG37" s="89">
        <f t="shared" si="3"/>
        <v>0</v>
      </c>
      <c r="AH37" s="89">
        <f t="shared" si="4"/>
        <v>0</v>
      </c>
      <c r="AI37" s="89">
        <f t="shared" si="5"/>
        <v>0</v>
      </c>
      <c r="AJ37">
        <f>+VALUE(A37)</f>
        <v>10800</v>
      </c>
      <c r="AK37" t="str">
        <f>+B37</f>
        <v>Bath Accessories</v>
      </c>
      <c r="AL37">
        <f>+VALUE(C37)</f>
        <v>733</v>
      </c>
      <c r="AM37">
        <f>+VALUE(D37)</f>
        <v>0</v>
      </c>
      <c r="AN37">
        <f>+VALUE(E37)</f>
        <v>0</v>
      </c>
      <c r="AO37">
        <f>+VALUE(F37)</f>
        <v>907</v>
      </c>
      <c r="AP37">
        <f>+VALUE(G37)</f>
        <v>0</v>
      </c>
      <c r="AQ37">
        <f>+VALUE(H37)</f>
        <v>786.68</v>
      </c>
      <c r="AR37">
        <f>+VALUE(I37)</f>
        <v>0</v>
      </c>
      <c r="AS37">
        <f>+VALUE(J37)</f>
        <v>0</v>
      </c>
      <c r="BC37" t="str">
        <f>+IF(LEN(T37)&gt;0,T37,"")</f>
        <v/>
      </c>
      <c r="BD37">
        <f>+U37</f>
        <v>0</v>
      </c>
      <c r="BE37">
        <f>+V37</f>
        <v>0</v>
      </c>
      <c r="BF37">
        <f>+VALUE(W37)</f>
        <v>0</v>
      </c>
      <c r="BG37">
        <f>+VALUE(X37)</f>
        <v>0</v>
      </c>
      <c r="BH37">
        <f>+VALUE(Y37)</f>
        <v>0</v>
      </c>
      <c r="BI37">
        <f>+VALUE(Z37)</f>
        <v>0</v>
      </c>
    </row>
    <row r="38" spans="1:61">
      <c r="A38" s="85" t="s">
        <v>237</v>
      </c>
      <c r="B38" s="85" t="s">
        <v>238</v>
      </c>
      <c r="C38" s="85" t="s">
        <v>239</v>
      </c>
      <c r="D38" s="85"/>
      <c r="E38" s="85" t="s">
        <v>240</v>
      </c>
      <c r="F38" s="85" t="s">
        <v>241</v>
      </c>
      <c r="G38" s="85" t="s">
        <v>77</v>
      </c>
      <c r="H38" s="85" t="s">
        <v>242</v>
      </c>
      <c r="I38" s="85" t="s">
        <v>77</v>
      </c>
      <c r="J38" s="85" t="s">
        <v>77</v>
      </c>
      <c r="T38" s="85"/>
      <c r="U38" s="85"/>
      <c r="V38" s="85"/>
      <c r="W38" s="85"/>
      <c r="X38" s="85"/>
      <c r="Y38" s="85"/>
      <c r="Z38" s="85"/>
      <c r="AA38" s="85"/>
      <c r="AB38" s="85"/>
      <c r="AG38" s="89">
        <f t="shared" si="3"/>
        <v>0</v>
      </c>
      <c r="AH38" s="89">
        <f t="shared" si="4"/>
        <v>0</v>
      </c>
      <c r="AI38" s="89">
        <f t="shared" si="5"/>
        <v>0</v>
      </c>
      <c r="AJ38">
        <f>+VALUE(A38)</f>
        <v>15100</v>
      </c>
      <c r="AK38" t="str">
        <f>+B38</f>
        <v>Plumbing</v>
      </c>
      <c r="AL38">
        <f>+VALUE(C38)</f>
        <v>5063</v>
      </c>
      <c r="AM38">
        <f>+VALUE(D38)</f>
        <v>0</v>
      </c>
      <c r="AN38">
        <f>+VALUE(E38)</f>
        <v>-50</v>
      </c>
      <c r="AO38">
        <f>+VALUE(F38)</f>
        <v>5955</v>
      </c>
      <c r="AP38">
        <f>+VALUE(G38)</f>
        <v>0</v>
      </c>
      <c r="AQ38">
        <f>+VALUE(H38)</f>
        <v>2909</v>
      </c>
      <c r="AR38">
        <f>+VALUE(I38)</f>
        <v>0</v>
      </c>
      <c r="AS38">
        <f>+VALUE(J38)</f>
        <v>0</v>
      </c>
      <c r="BC38" t="str">
        <f>+IF(LEN(T38)&gt;0,T38,"")</f>
        <v/>
      </c>
      <c r="BD38">
        <f>+U38</f>
        <v>0</v>
      </c>
      <c r="BE38">
        <f>+V38</f>
        <v>0</v>
      </c>
      <c r="BF38">
        <f>+VALUE(W38)</f>
        <v>0</v>
      </c>
      <c r="BG38">
        <f>+VALUE(X38)</f>
        <v>0</v>
      </c>
      <c r="BH38">
        <f>+VALUE(Y38)</f>
        <v>0</v>
      </c>
      <c r="BI38">
        <f>+VALUE(Z38)</f>
        <v>0</v>
      </c>
    </row>
    <row r="39" spans="1:61">
      <c r="A39" s="85" t="s">
        <v>243</v>
      </c>
      <c r="B39" s="85" t="s">
        <v>244</v>
      </c>
      <c r="C39" s="85" t="s">
        <v>245</v>
      </c>
      <c r="D39" s="85"/>
      <c r="E39" s="85" t="s">
        <v>77</v>
      </c>
      <c r="F39" s="85" t="s">
        <v>246</v>
      </c>
      <c r="G39" s="85" t="s">
        <v>77</v>
      </c>
      <c r="H39" s="85" t="s">
        <v>247</v>
      </c>
      <c r="I39" s="85" t="s">
        <v>77</v>
      </c>
      <c r="J39" s="85" t="s">
        <v>77</v>
      </c>
      <c r="T39" s="85"/>
      <c r="U39" s="85"/>
      <c r="V39" s="85"/>
      <c r="W39" s="85"/>
      <c r="X39" s="85"/>
      <c r="Y39" s="85"/>
      <c r="Z39" s="85"/>
      <c r="AA39" s="85"/>
      <c r="AB39" s="85"/>
      <c r="AG39" s="89">
        <f t="shared" si="3"/>
        <v>0</v>
      </c>
      <c r="AH39" s="89">
        <f t="shared" si="4"/>
        <v>0</v>
      </c>
      <c r="AI39" s="89">
        <f t="shared" si="5"/>
        <v>0</v>
      </c>
      <c r="AJ39">
        <f>+VALUE(A39)</f>
        <v>15700</v>
      </c>
      <c r="AK39" t="str">
        <f>+B39</f>
        <v>HVAC</v>
      </c>
      <c r="AL39">
        <f>+VALUE(C39)</f>
        <v>19369</v>
      </c>
      <c r="AM39">
        <f>+VALUE(D39)</f>
        <v>0</v>
      </c>
      <c r="AN39">
        <f>+VALUE(E39)</f>
        <v>0</v>
      </c>
      <c r="AO39">
        <f>+VALUE(F39)</f>
        <v>22778</v>
      </c>
      <c r="AP39">
        <f>+VALUE(G39)</f>
        <v>0</v>
      </c>
      <c r="AQ39">
        <f>+VALUE(H39)</f>
        <v>16444</v>
      </c>
      <c r="AR39">
        <f>+VALUE(I39)</f>
        <v>0</v>
      </c>
      <c r="AS39">
        <f>+VALUE(J39)</f>
        <v>0</v>
      </c>
      <c r="BC39" t="str">
        <f>+IF(LEN(T39)&gt;0,T39,"")</f>
        <v/>
      </c>
      <c r="BD39">
        <f>+U39</f>
        <v>0</v>
      </c>
      <c r="BE39">
        <f>+V39</f>
        <v>0</v>
      </c>
      <c r="BF39">
        <f>+VALUE(W39)</f>
        <v>0</v>
      </c>
      <c r="BG39">
        <f>+VALUE(X39)</f>
        <v>0</v>
      </c>
      <c r="BH39">
        <f>+VALUE(Y39)</f>
        <v>0</v>
      </c>
      <c r="BI39">
        <f>+VALUE(Z39)</f>
        <v>0</v>
      </c>
    </row>
    <row r="40" spans="1:61">
      <c r="A40" s="85" t="s">
        <v>248</v>
      </c>
      <c r="B40" s="85" t="s">
        <v>249</v>
      </c>
      <c r="C40" s="85" t="s">
        <v>77</v>
      </c>
      <c r="D40" s="85"/>
      <c r="E40" s="85" t="s">
        <v>77</v>
      </c>
      <c r="F40" s="85" t="s">
        <v>77</v>
      </c>
      <c r="G40" s="85" t="s">
        <v>77</v>
      </c>
      <c r="H40" s="85" t="s">
        <v>250</v>
      </c>
      <c r="I40" s="85" t="s">
        <v>77</v>
      </c>
      <c r="J40" s="85" t="s">
        <v>77</v>
      </c>
      <c r="T40" s="85"/>
      <c r="U40" s="85"/>
      <c r="V40" s="85"/>
      <c r="W40" s="85"/>
      <c r="X40" s="85"/>
      <c r="Y40" s="85"/>
      <c r="Z40" s="85"/>
      <c r="AA40" s="85"/>
      <c r="AB40" s="85"/>
      <c r="AG40" s="89">
        <f t="shared" si="3"/>
        <v>0</v>
      </c>
      <c r="AH40" s="89">
        <f t="shared" si="4"/>
        <v>0</v>
      </c>
      <c r="AI40" s="89">
        <f t="shared" si="5"/>
        <v>0</v>
      </c>
      <c r="AJ40">
        <f>+VALUE(A40)</f>
        <v>16000</v>
      </c>
      <c r="AK40" t="str">
        <f>+B40</f>
        <v>ELECTRICAL</v>
      </c>
      <c r="AL40">
        <f>+VALUE(C40)</f>
        <v>0</v>
      </c>
      <c r="AM40">
        <f>+VALUE(D40)</f>
        <v>0</v>
      </c>
      <c r="AN40">
        <f>+VALUE(E40)</f>
        <v>0</v>
      </c>
      <c r="AO40">
        <f>+VALUE(F40)</f>
        <v>0</v>
      </c>
      <c r="AP40">
        <f>+VALUE(G40)</f>
        <v>0</v>
      </c>
      <c r="AQ40">
        <f>+VALUE(H40)</f>
        <v>37928</v>
      </c>
      <c r="AR40">
        <f>+VALUE(I40)</f>
        <v>0</v>
      </c>
      <c r="AS40">
        <f>+VALUE(J40)</f>
        <v>0</v>
      </c>
      <c r="BC40" t="str">
        <f>+IF(LEN(T40)&gt;0,T40,"")</f>
        <v/>
      </c>
      <c r="BD40">
        <f>+U40</f>
        <v>0</v>
      </c>
      <c r="BE40">
        <f>+V40</f>
        <v>0</v>
      </c>
      <c r="BF40">
        <f>+VALUE(W40)</f>
        <v>0</v>
      </c>
      <c r="BG40">
        <f>+VALUE(X40)</f>
        <v>0</v>
      </c>
      <c r="BH40">
        <f>+VALUE(Y40)</f>
        <v>0</v>
      </c>
      <c r="BI40">
        <f>+VALUE(Z40)</f>
        <v>0</v>
      </c>
    </row>
    <row r="41" spans="1:61">
      <c r="A41" s="85" t="s">
        <v>251</v>
      </c>
      <c r="B41" s="85" t="s">
        <v>252</v>
      </c>
      <c r="C41" s="85" t="s">
        <v>253</v>
      </c>
      <c r="D41" s="85"/>
      <c r="E41" s="85" t="s">
        <v>77</v>
      </c>
      <c r="F41" s="85" t="s">
        <v>254</v>
      </c>
      <c r="G41" s="85" t="s">
        <v>77</v>
      </c>
      <c r="H41" s="85" t="s">
        <v>255</v>
      </c>
      <c r="I41" s="85" t="s">
        <v>77</v>
      </c>
      <c r="J41" s="85" t="s">
        <v>77</v>
      </c>
      <c r="T41" s="85"/>
      <c r="U41" s="85"/>
      <c r="V41" s="85"/>
      <c r="W41" s="85"/>
      <c r="X41" s="85"/>
      <c r="Y41" s="85"/>
      <c r="Z41" s="85"/>
      <c r="AA41" s="85"/>
      <c r="AB41" s="85"/>
      <c r="AG41" s="89">
        <f t="shared" si="3"/>
        <v>0</v>
      </c>
      <c r="AH41" s="89">
        <f t="shared" si="4"/>
        <v>0</v>
      </c>
      <c r="AI41" s="89">
        <f t="shared" si="5"/>
        <v>0</v>
      </c>
      <c r="AJ41">
        <f>+VALUE(A41)</f>
        <v>16100</v>
      </c>
      <c r="AK41" t="str">
        <f>+B41</f>
        <v>Electrical Wiring</v>
      </c>
      <c r="AL41">
        <f>+VALUE(C41)</f>
        <v>50416</v>
      </c>
      <c r="AM41">
        <f>+VALUE(D41)</f>
        <v>0</v>
      </c>
      <c r="AN41">
        <f>+VALUE(E41)</f>
        <v>0</v>
      </c>
      <c r="AO41">
        <f>+VALUE(F41)</f>
        <v>60326</v>
      </c>
      <c r="AP41">
        <f>+VALUE(G41)</f>
        <v>0</v>
      </c>
      <c r="AQ41">
        <f>+VALUE(H41)</f>
        <v>12618.35</v>
      </c>
      <c r="AR41">
        <f>+VALUE(I41)</f>
        <v>0</v>
      </c>
      <c r="AS41">
        <f>+VALUE(J41)</f>
        <v>0</v>
      </c>
      <c r="BC41" t="str">
        <f>+IF(LEN(T41)&gt;0,T41,"")</f>
        <v/>
      </c>
      <c r="BD41">
        <f>+U41</f>
        <v>0</v>
      </c>
      <c r="BE41">
        <f>+V41</f>
        <v>0</v>
      </c>
      <c r="BF41">
        <f>+VALUE(W41)</f>
        <v>0</v>
      </c>
      <c r="BG41">
        <f>+VALUE(X41)</f>
        <v>0</v>
      </c>
      <c r="BH41">
        <f>+VALUE(Y41)</f>
        <v>0</v>
      </c>
      <c r="BI41">
        <f>+VALUE(Z41)</f>
        <v>0</v>
      </c>
    </row>
    <row r="42" spans="1:61">
      <c r="A42" s="85"/>
      <c r="B42" s="85"/>
      <c r="C42" s="85"/>
      <c r="D42" s="85"/>
      <c r="E42" s="85"/>
      <c r="F42" s="85"/>
      <c r="G42" s="85"/>
      <c r="H42" s="85"/>
      <c r="I42" s="85"/>
      <c r="J42" s="85"/>
      <c r="T42" s="85"/>
      <c r="U42" s="85"/>
      <c r="V42" s="85"/>
      <c r="W42" s="85"/>
      <c r="X42" s="85"/>
      <c r="Y42" s="85"/>
      <c r="Z42" s="85"/>
      <c r="AA42" s="85"/>
      <c r="AB42" s="85"/>
      <c r="AG42" s="89">
        <f t="shared" si="3"/>
        <v>0</v>
      </c>
      <c r="AH42" s="89">
        <f t="shared" si="4"/>
        <v>0</v>
      </c>
      <c r="AI42" s="89">
        <f t="shared" si="5"/>
        <v>0</v>
      </c>
      <c r="AJ42">
        <f>+VALUE(A42)</f>
        <v>0</v>
      </c>
      <c r="AK42">
        <f>+B42</f>
        <v>0</v>
      </c>
      <c r="AL42">
        <f>+VALUE(C42)</f>
        <v>0</v>
      </c>
      <c r="AM42">
        <f>+VALUE(D42)</f>
        <v>0</v>
      </c>
      <c r="AN42">
        <f>+VALUE(E42)</f>
        <v>0</v>
      </c>
      <c r="AO42">
        <f>+VALUE(F42)</f>
        <v>0</v>
      </c>
      <c r="AP42">
        <f>+VALUE(G42)</f>
        <v>0</v>
      </c>
      <c r="AQ42">
        <f>+VALUE(H42)</f>
        <v>0</v>
      </c>
      <c r="AR42">
        <f>+VALUE(I42)</f>
        <v>0</v>
      </c>
      <c r="AS42">
        <f>+VALUE(J42)</f>
        <v>0</v>
      </c>
      <c r="BC42" t="str">
        <f>+IF(LEN(T42)&gt;0,T42,"")</f>
        <v/>
      </c>
      <c r="BD42">
        <f>+U42</f>
        <v>0</v>
      </c>
      <c r="BE42">
        <f>+V42</f>
        <v>0</v>
      </c>
      <c r="BF42">
        <f>+VALUE(W42)</f>
        <v>0</v>
      </c>
      <c r="BG42">
        <f>+VALUE(X42)</f>
        <v>0</v>
      </c>
      <c r="BH42">
        <f>+VALUE(Y42)</f>
        <v>0</v>
      </c>
      <c r="BI42">
        <f>+VALUE(Z42)</f>
        <v>0</v>
      </c>
    </row>
    <row r="43" spans="1:61">
      <c r="A43" s="85"/>
      <c r="B43" s="85"/>
      <c r="C43" s="85"/>
      <c r="D43" s="85"/>
      <c r="E43" s="85"/>
      <c r="F43" s="85"/>
      <c r="G43" s="85"/>
      <c r="H43" s="85"/>
      <c r="I43" s="85"/>
      <c r="J43" s="85"/>
      <c r="T43" s="85"/>
      <c r="U43" s="85"/>
      <c r="V43" s="85"/>
      <c r="W43" s="85"/>
      <c r="X43" s="85"/>
      <c r="Y43" s="85"/>
      <c r="Z43" s="85"/>
      <c r="AA43" s="85"/>
      <c r="AB43" s="85"/>
      <c r="AG43" s="89">
        <f t="shared" si="3"/>
        <v>0</v>
      </c>
      <c r="AH43" s="89">
        <f t="shared" si="4"/>
        <v>0</v>
      </c>
      <c r="AI43" s="89">
        <f t="shared" si="5"/>
        <v>0</v>
      </c>
      <c r="AJ43">
        <f>+VALUE(A43)</f>
        <v>0</v>
      </c>
      <c r="AK43">
        <f>+B43</f>
        <v>0</v>
      </c>
      <c r="AL43">
        <f>+VALUE(C43)</f>
        <v>0</v>
      </c>
      <c r="AM43">
        <f>+VALUE(D43)</f>
        <v>0</v>
      </c>
      <c r="AN43">
        <f>+VALUE(E43)</f>
        <v>0</v>
      </c>
      <c r="AO43">
        <f>+VALUE(F43)</f>
        <v>0</v>
      </c>
      <c r="AP43">
        <f>+VALUE(G43)</f>
        <v>0</v>
      </c>
      <c r="AQ43">
        <f>+VALUE(H43)</f>
        <v>0</v>
      </c>
      <c r="AR43">
        <f>+VALUE(I43)</f>
        <v>0</v>
      </c>
      <c r="AS43">
        <f>+VALUE(J43)</f>
        <v>0</v>
      </c>
      <c r="BC43" t="str">
        <f>+IF(LEN(T43)&gt;0,T43,"")</f>
        <v/>
      </c>
      <c r="BD43">
        <f>+U43</f>
        <v>0</v>
      </c>
      <c r="BE43">
        <f>+V43</f>
        <v>0</v>
      </c>
      <c r="BF43">
        <f>+VALUE(W43)</f>
        <v>0</v>
      </c>
      <c r="BG43">
        <f>+VALUE(X43)</f>
        <v>0</v>
      </c>
      <c r="BH43">
        <f>+VALUE(Y43)</f>
        <v>0</v>
      </c>
      <c r="BI43">
        <f>+VALUE(Z43)</f>
        <v>0</v>
      </c>
    </row>
    <row r="44" spans="1:61">
      <c r="A44" s="85"/>
      <c r="B44" s="85"/>
      <c r="C44" s="85"/>
      <c r="D44" s="85"/>
      <c r="E44" s="85"/>
      <c r="F44" s="85"/>
      <c r="G44" s="85"/>
      <c r="H44" s="85"/>
      <c r="I44" s="85"/>
      <c r="J44" s="85"/>
      <c r="T44" s="85"/>
      <c r="U44" s="85"/>
      <c r="V44" s="85"/>
      <c r="W44" s="85"/>
      <c r="X44" s="85"/>
      <c r="Y44" s="85"/>
      <c r="Z44" s="85"/>
      <c r="AA44" s="85"/>
      <c r="AB44" s="85"/>
      <c r="AG44" s="89">
        <f t="shared" si="3"/>
        <v>0</v>
      </c>
      <c r="AH44" s="89">
        <f t="shared" si="4"/>
        <v>0</v>
      </c>
      <c r="AI44" s="89">
        <f t="shared" si="5"/>
        <v>0</v>
      </c>
      <c r="AJ44">
        <f>+VALUE(A44)</f>
        <v>0</v>
      </c>
      <c r="AK44">
        <f>+B44</f>
        <v>0</v>
      </c>
      <c r="AL44">
        <f>+VALUE(C44)</f>
        <v>0</v>
      </c>
      <c r="AM44">
        <f>+VALUE(D44)</f>
        <v>0</v>
      </c>
      <c r="AN44">
        <f>+VALUE(E44)</f>
        <v>0</v>
      </c>
      <c r="AO44">
        <f>+VALUE(F44)</f>
        <v>0</v>
      </c>
      <c r="AP44">
        <f>+VALUE(G44)</f>
        <v>0</v>
      </c>
      <c r="AQ44">
        <f>+VALUE(H44)</f>
        <v>0</v>
      </c>
      <c r="AR44">
        <f>+VALUE(I44)</f>
        <v>0</v>
      </c>
      <c r="AS44">
        <f>+VALUE(J44)</f>
        <v>0</v>
      </c>
      <c r="BC44" t="str">
        <f>+IF(LEN(T44)&gt;0,T44,"")</f>
        <v/>
      </c>
      <c r="BD44">
        <f>+U44</f>
        <v>0</v>
      </c>
      <c r="BE44">
        <f>+V44</f>
        <v>0</v>
      </c>
      <c r="BF44">
        <f>+VALUE(W44)</f>
        <v>0</v>
      </c>
      <c r="BG44">
        <f>+VALUE(X44)</f>
        <v>0</v>
      </c>
      <c r="BH44">
        <f>+VALUE(Y44)</f>
        <v>0</v>
      </c>
      <c r="BI44">
        <f>+VALUE(Z44)</f>
        <v>0</v>
      </c>
    </row>
    <row r="45" spans="1:61">
      <c r="A45" s="85"/>
      <c r="B45" s="85"/>
      <c r="C45" s="85"/>
      <c r="D45" s="85"/>
      <c r="E45" s="85"/>
      <c r="F45" s="85"/>
      <c r="G45" s="85"/>
      <c r="H45" s="85"/>
      <c r="I45" s="85"/>
      <c r="J45" s="85"/>
      <c r="T45" s="85"/>
      <c r="U45" s="85"/>
      <c r="V45" s="85"/>
      <c r="W45" s="85"/>
      <c r="X45" s="85"/>
      <c r="Y45" s="85"/>
      <c r="Z45" s="85"/>
      <c r="AA45" s="85"/>
      <c r="AB45" s="85"/>
      <c r="AG45" s="89">
        <f t="shared" si="3"/>
        <v>0</v>
      </c>
      <c r="AH45" s="89">
        <f t="shared" si="4"/>
        <v>0</v>
      </c>
      <c r="AI45" s="89">
        <f t="shared" si="5"/>
        <v>0</v>
      </c>
      <c r="AJ45">
        <f>+VALUE(A45)</f>
        <v>0</v>
      </c>
      <c r="AK45">
        <f>+B45</f>
        <v>0</v>
      </c>
      <c r="AL45">
        <f>+VALUE(C45)</f>
        <v>0</v>
      </c>
      <c r="AM45">
        <f>+VALUE(D45)</f>
        <v>0</v>
      </c>
      <c r="AN45">
        <f>+VALUE(E45)</f>
        <v>0</v>
      </c>
      <c r="AO45">
        <f>+VALUE(F45)</f>
        <v>0</v>
      </c>
      <c r="AP45">
        <f>+VALUE(G45)</f>
        <v>0</v>
      </c>
      <c r="AQ45">
        <f>+VALUE(H45)</f>
        <v>0</v>
      </c>
      <c r="AR45">
        <f>+VALUE(I45)</f>
        <v>0</v>
      </c>
      <c r="AS45">
        <f>+VALUE(J45)</f>
        <v>0</v>
      </c>
      <c r="BC45" t="str">
        <f>+IF(LEN(T45)&gt;0,T45,"")</f>
        <v/>
      </c>
      <c r="BD45">
        <f>+U45</f>
        <v>0</v>
      </c>
      <c r="BE45">
        <f>+V45</f>
        <v>0</v>
      </c>
      <c r="BF45">
        <f>+VALUE(W45)</f>
        <v>0</v>
      </c>
      <c r="BG45">
        <f>+VALUE(X45)</f>
        <v>0</v>
      </c>
      <c r="BH45">
        <f>+VALUE(Y45)</f>
        <v>0</v>
      </c>
      <c r="BI45">
        <f>+VALUE(Z45)</f>
        <v>0</v>
      </c>
    </row>
    <row r="46" spans="1:61">
      <c r="A46" s="85"/>
      <c r="B46" s="85"/>
      <c r="C46" s="85"/>
      <c r="D46" s="85"/>
      <c r="E46" s="85"/>
      <c r="F46" s="85"/>
      <c r="G46" s="85"/>
      <c r="H46" s="85"/>
      <c r="I46" s="85"/>
      <c r="J46" s="85"/>
      <c r="T46" s="85"/>
      <c r="U46" s="85"/>
      <c r="V46" s="85"/>
      <c r="W46" s="85"/>
      <c r="X46" s="85"/>
      <c r="Y46" s="85"/>
      <c r="Z46" s="85"/>
      <c r="AA46" s="85"/>
      <c r="AB46" s="85"/>
      <c r="AG46" s="89">
        <f t="shared" si="3"/>
        <v>0</v>
      </c>
      <c r="AH46" s="89">
        <f t="shared" si="4"/>
        <v>0</v>
      </c>
      <c r="AI46" s="89">
        <f t="shared" si="5"/>
        <v>0</v>
      </c>
      <c r="AJ46">
        <f>+VALUE(A46)</f>
        <v>0</v>
      </c>
      <c r="AK46">
        <f>+B46</f>
        <v>0</v>
      </c>
      <c r="AL46">
        <f>+VALUE(C46)</f>
        <v>0</v>
      </c>
      <c r="AM46">
        <f>+VALUE(D46)</f>
        <v>0</v>
      </c>
      <c r="AN46">
        <f>+VALUE(E46)</f>
        <v>0</v>
      </c>
      <c r="AO46">
        <f>+VALUE(F46)</f>
        <v>0</v>
      </c>
      <c r="AP46">
        <f>+VALUE(G46)</f>
        <v>0</v>
      </c>
      <c r="AQ46">
        <f>+VALUE(H46)</f>
        <v>0</v>
      </c>
      <c r="AR46">
        <f>+VALUE(I46)</f>
        <v>0</v>
      </c>
      <c r="AS46">
        <f>+VALUE(J46)</f>
        <v>0</v>
      </c>
      <c r="BC46" t="str">
        <f>+IF(LEN(T46)&gt;0,T46,"")</f>
        <v/>
      </c>
      <c r="BD46">
        <f>+U46</f>
        <v>0</v>
      </c>
      <c r="BE46">
        <f>+V46</f>
        <v>0</v>
      </c>
      <c r="BF46">
        <f>+VALUE(W46)</f>
        <v>0</v>
      </c>
      <c r="BG46">
        <f>+VALUE(X46)</f>
        <v>0</v>
      </c>
      <c r="BH46">
        <f>+VALUE(Y46)</f>
        <v>0</v>
      </c>
      <c r="BI46">
        <f>+VALUE(Z46)</f>
        <v>0</v>
      </c>
    </row>
    <row r="47" spans="1:61">
      <c r="A47" s="85"/>
      <c r="B47" s="85"/>
      <c r="C47" s="85"/>
      <c r="D47" s="85"/>
      <c r="E47" s="85"/>
      <c r="F47" s="85"/>
      <c r="G47" s="85"/>
      <c r="H47" s="85"/>
      <c r="I47" s="85"/>
      <c r="J47" s="85"/>
      <c r="T47" s="85"/>
      <c r="U47" s="85"/>
      <c r="V47" s="85"/>
      <c r="W47" s="85"/>
      <c r="X47" s="85"/>
      <c r="Y47" s="85"/>
      <c r="Z47" s="85"/>
      <c r="AA47" s="85"/>
      <c r="AB47" s="85"/>
      <c r="AG47" s="89">
        <f t="shared" si="3"/>
        <v>0</v>
      </c>
      <c r="AH47" s="89">
        <f t="shared" si="4"/>
        <v>0</v>
      </c>
      <c r="AI47" s="89">
        <f t="shared" si="5"/>
        <v>0</v>
      </c>
      <c r="AJ47">
        <f>+VALUE(A47)</f>
        <v>0</v>
      </c>
      <c r="AK47">
        <f>+B47</f>
        <v>0</v>
      </c>
      <c r="AL47">
        <f>+VALUE(C47)</f>
        <v>0</v>
      </c>
      <c r="AM47">
        <f>+VALUE(D47)</f>
        <v>0</v>
      </c>
      <c r="AN47">
        <f>+VALUE(E47)</f>
        <v>0</v>
      </c>
      <c r="AO47">
        <f>+VALUE(F47)</f>
        <v>0</v>
      </c>
      <c r="AP47">
        <f>+VALUE(G47)</f>
        <v>0</v>
      </c>
      <c r="AQ47">
        <f>+VALUE(H47)</f>
        <v>0</v>
      </c>
      <c r="AR47">
        <f>+VALUE(I47)</f>
        <v>0</v>
      </c>
      <c r="AS47">
        <f>+VALUE(J47)</f>
        <v>0</v>
      </c>
      <c r="BC47" t="str">
        <f>+IF(LEN(T47)&gt;0,T47,"")</f>
        <v/>
      </c>
      <c r="BD47">
        <f>+U47</f>
        <v>0</v>
      </c>
      <c r="BE47">
        <f>+V47</f>
        <v>0</v>
      </c>
      <c r="BF47">
        <f>+VALUE(W47)</f>
        <v>0</v>
      </c>
      <c r="BG47">
        <f>+VALUE(X47)</f>
        <v>0</v>
      </c>
      <c r="BH47">
        <f>+VALUE(Y47)</f>
        <v>0</v>
      </c>
      <c r="BI47">
        <f>+VALUE(Z47)</f>
        <v>0</v>
      </c>
    </row>
    <row r="48" spans="1:61">
      <c r="A48" s="85"/>
      <c r="B48" s="85"/>
      <c r="C48" s="85"/>
      <c r="D48" s="85"/>
      <c r="E48" s="85"/>
      <c r="F48" s="85"/>
      <c r="G48" s="85"/>
      <c r="H48" s="85"/>
      <c r="I48" s="85"/>
      <c r="J48" s="85"/>
      <c r="T48" s="85"/>
      <c r="U48" s="85"/>
      <c r="V48" s="85"/>
      <c r="W48" s="85"/>
      <c r="X48" s="85"/>
      <c r="Y48" s="85"/>
      <c r="Z48" s="85"/>
      <c r="AA48" s="85"/>
      <c r="AB48" s="85"/>
      <c r="AG48" s="89">
        <f t="shared" si="3"/>
        <v>0</v>
      </c>
      <c r="AH48" s="89">
        <f t="shared" si="4"/>
        <v>0</v>
      </c>
      <c r="AI48" s="89">
        <f t="shared" si="5"/>
        <v>0</v>
      </c>
      <c r="AJ48">
        <f>+VALUE(A48)</f>
        <v>0</v>
      </c>
      <c r="AK48">
        <f>+B48</f>
        <v>0</v>
      </c>
      <c r="AL48">
        <f>+VALUE(C48)</f>
        <v>0</v>
      </c>
      <c r="AM48">
        <f>+VALUE(D48)</f>
        <v>0</v>
      </c>
      <c r="AN48">
        <f>+VALUE(E48)</f>
        <v>0</v>
      </c>
      <c r="AO48">
        <f>+VALUE(F48)</f>
        <v>0</v>
      </c>
      <c r="AP48">
        <f>+VALUE(G48)</f>
        <v>0</v>
      </c>
      <c r="AQ48">
        <f>+VALUE(H48)</f>
        <v>0</v>
      </c>
      <c r="AR48">
        <f>+VALUE(I48)</f>
        <v>0</v>
      </c>
      <c r="AS48">
        <f>+VALUE(J48)</f>
        <v>0</v>
      </c>
      <c r="BC48" t="str">
        <f>+IF(LEN(T48)&gt;0,T48,"")</f>
        <v/>
      </c>
      <c r="BD48">
        <f>+U48</f>
        <v>0</v>
      </c>
      <c r="BE48">
        <f>+V48</f>
        <v>0</v>
      </c>
      <c r="BF48">
        <f>+VALUE(W48)</f>
        <v>0</v>
      </c>
      <c r="BG48">
        <f>+VALUE(X48)</f>
        <v>0</v>
      </c>
      <c r="BH48">
        <f>+VALUE(Y48)</f>
        <v>0</v>
      </c>
      <c r="BI48">
        <f>+VALUE(Z48)</f>
        <v>0</v>
      </c>
    </row>
    <row r="49" spans="1:61">
      <c r="A49" s="85"/>
      <c r="B49" s="85"/>
      <c r="C49" s="85"/>
      <c r="D49" s="85"/>
      <c r="E49" s="85"/>
      <c r="F49" s="85"/>
      <c r="G49" s="85"/>
      <c r="H49" s="85"/>
      <c r="I49" s="85"/>
      <c r="J49" s="85"/>
      <c r="T49" s="85"/>
      <c r="U49" s="85"/>
      <c r="V49" s="85"/>
      <c r="W49" s="85"/>
      <c r="X49" s="85"/>
      <c r="Y49" s="85"/>
      <c r="Z49" s="85"/>
      <c r="AA49" s="85"/>
      <c r="AB49" s="85"/>
      <c r="AG49" s="89">
        <f t="shared" si="3"/>
        <v>0</v>
      </c>
      <c r="AH49" s="89">
        <f t="shared" si="4"/>
        <v>0</v>
      </c>
      <c r="AI49" s="89">
        <f t="shared" si="5"/>
        <v>0</v>
      </c>
      <c r="AJ49">
        <f>+VALUE(A49)</f>
        <v>0</v>
      </c>
      <c r="AK49">
        <f>+B49</f>
        <v>0</v>
      </c>
      <c r="AL49">
        <f>+VALUE(C49)</f>
        <v>0</v>
      </c>
      <c r="AM49">
        <f>+VALUE(D49)</f>
        <v>0</v>
      </c>
      <c r="AN49">
        <f>+VALUE(E49)</f>
        <v>0</v>
      </c>
      <c r="AO49">
        <f>+VALUE(F49)</f>
        <v>0</v>
      </c>
      <c r="AP49">
        <f>+VALUE(G49)</f>
        <v>0</v>
      </c>
      <c r="AQ49">
        <f>+VALUE(H49)</f>
        <v>0</v>
      </c>
      <c r="AR49">
        <f>+VALUE(I49)</f>
        <v>0</v>
      </c>
      <c r="AS49">
        <f>+VALUE(J49)</f>
        <v>0</v>
      </c>
      <c r="BC49" t="str">
        <f>+IF(LEN(T49)&gt;0,T49,"")</f>
        <v/>
      </c>
      <c r="BD49">
        <f>+U49</f>
        <v>0</v>
      </c>
      <c r="BE49">
        <f>+V49</f>
        <v>0</v>
      </c>
      <c r="BF49">
        <f>+VALUE(W49)</f>
        <v>0</v>
      </c>
      <c r="BG49">
        <f>+VALUE(X49)</f>
        <v>0</v>
      </c>
      <c r="BH49">
        <f>+VALUE(Y49)</f>
        <v>0</v>
      </c>
      <c r="BI49">
        <f>+VALUE(Z49)</f>
        <v>0</v>
      </c>
    </row>
    <row r="50" spans="1:61">
      <c r="A50" s="85"/>
      <c r="B50" s="85"/>
      <c r="C50" s="85"/>
      <c r="D50" s="85"/>
      <c r="E50" s="85"/>
      <c r="F50" s="85"/>
      <c r="G50" s="85"/>
      <c r="H50" s="85"/>
      <c r="I50" s="85"/>
      <c r="J50" s="85"/>
      <c r="T50" s="85"/>
      <c r="U50" s="85"/>
      <c r="V50" s="85"/>
      <c r="W50" s="85"/>
      <c r="X50" s="85"/>
      <c r="Y50" s="85"/>
      <c r="Z50" s="85"/>
      <c r="AA50" s="85"/>
      <c r="AB50" s="85"/>
      <c r="AG50" s="89">
        <f t="shared" si="3"/>
        <v>0</v>
      </c>
      <c r="AH50" s="89">
        <f t="shared" si="4"/>
        <v>0</v>
      </c>
      <c r="AI50" s="89">
        <f t="shared" si="5"/>
        <v>0</v>
      </c>
      <c r="AJ50">
        <f>+VALUE(A50)</f>
        <v>0</v>
      </c>
      <c r="AK50">
        <f>+B50</f>
        <v>0</v>
      </c>
      <c r="AL50">
        <f>+VALUE(C50)</f>
        <v>0</v>
      </c>
      <c r="AM50">
        <f>+VALUE(D50)</f>
        <v>0</v>
      </c>
      <c r="AN50">
        <f>+VALUE(E50)</f>
        <v>0</v>
      </c>
      <c r="AO50">
        <f>+VALUE(F50)</f>
        <v>0</v>
      </c>
      <c r="AP50">
        <f>+VALUE(G50)</f>
        <v>0</v>
      </c>
      <c r="AQ50">
        <f>+VALUE(H50)</f>
        <v>0</v>
      </c>
      <c r="AR50">
        <f>+VALUE(I50)</f>
        <v>0</v>
      </c>
      <c r="AS50">
        <f>+VALUE(J50)</f>
        <v>0</v>
      </c>
      <c r="BC50" t="str">
        <f>+IF(LEN(T50)&gt;0,T50,"")</f>
        <v/>
      </c>
      <c r="BD50">
        <f>+U50</f>
        <v>0</v>
      </c>
      <c r="BE50">
        <f>+V50</f>
        <v>0</v>
      </c>
      <c r="BF50">
        <f>+VALUE(W50)</f>
        <v>0</v>
      </c>
      <c r="BG50">
        <f>+VALUE(X50)</f>
        <v>0</v>
      </c>
      <c r="BH50">
        <f>+VALUE(Y50)</f>
        <v>0</v>
      </c>
      <c r="BI50">
        <f>+VALUE(Z50)</f>
        <v>0</v>
      </c>
    </row>
    <row r="51" spans="1:61">
      <c r="A51" s="85"/>
      <c r="B51" s="85"/>
      <c r="C51" s="85"/>
      <c r="D51" s="85"/>
      <c r="E51" s="85"/>
      <c r="F51" s="85"/>
      <c r="G51" s="85"/>
      <c r="H51" s="85"/>
      <c r="I51" s="85"/>
      <c r="J51" s="85"/>
      <c r="T51" s="85"/>
      <c r="U51" s="85"/>
      <c r="V51" s="85"/>
      <c r="W51" s="85"/>
      <c r="X51" s="85"/>
      <c r="Y51" s="85"/>
      <c r="Z51" s="85"/>
      <c r="AA51" s="85"/>
      <c r="AB51" s="85"/>
      <c r="AG51" s="89">
        <f t="shared" si="3"/>
        <v>0</v>
      </c>
      <c r="AH51" s="89">
        <f t="shared" si="4"/>
        <v>0</v>
      </c>
      <c r="AI51" s="89">
        <f t="shared" si="5"/>
        <v>0</v>
      </c>
      <c r="AJ51">
        <f>+VALUE(A51)</f>
        <v>0</v>
      </c>
      <c r="AK51">
        <f>+B51</f>
        <v>0</v>
      </c>
      <c r="AL51">
        <f>+VALUE(C51)</f>
        <v>0</v>
      </c>
      <c r="AM51">
        <f>+VALUE(D51)</f>
        <v>0</v>
      </c>
      <c r="AN51">
        <f>+VALUE(E51)</f>
        <v>0</v>
      </c>
      <c r="AO51">
        <f>+VALUE(F51)</f>
        <v>0</v>
      </c>
      <c r="AP51">
        <f>+VALUE(G51)</f>
        <v>0</v>
      </c>
      <c r="AQ51">
        <f>+VALUE(H51)</f>
        <v>0</v>
      </c>
      <c r="AR51">
        <f>+VALUE(I51)</f>
        <v>0</v>
      </c>
      <c r="AS51">
        <f>+VALUE(J51)</f>
        <v>0</v>
      </c>
      <c r="BC51" t="str">
        <f>+IF(LEN(T51)&gt;0,T51,"")</f>
        <v/>
      </c>
      <c r="BD51">
        <f>+U51</f>
        <v>0</v>
      </c>
      <c r="BE51">
        <f>+V51</f>
        <v>0</v>
      </c>
      <c r="BF51">
        <f>+VALUE(W51)</f>
        <v>0</v>
      </c>
      <c r="BG51">
        <f>+VALUE(X51)</f>
        <v>0</v>
      </c>
      <c r="BH51">
        <f>+VALUE(Y51)</f>
        <v>0</v>
      </c>
      <c r="BI51">
        <f>+VALUE(Z51)</f>
        <v>0</v>
      </c>
    </row>
    <row r="52" spans="1:61">
      <c r="A52" s="85"/>
      <c r="B52" s="85"/>
      <c r="C52" s="85"/>
      <c r="D52" s="85"/>
      <c r="E52" s="85"/>
      <c r="F52" s="85"/>
      <c r="G52" s="85"/>
      <c r="H52" s="85"/>
      <c r="I52" s="85"/>
      <c r="J52" s="85"/>
      <c r="T52" s="85"/>
      <c r="U52" s="85"/>
      <c r="V52" s="85"/>
      <c r="W52" s="85"/>
      <c r="X52" s="85"/>
      <c r="Y52" s="85"/>
      <c r="Z52" s="85"/>
      <c r="AA52" s="85"/>
      <c r="AB52" s="85"/>
      <c r="AG52" s="89">
        <f t="shared" si="3"/>
        <v>0</v>
      </c>
      <c r="AH52" s="89">
        <f t="shared" si="4"/>
        <v>0</v>
      </c>
      <c r="AI52" s="89">
        <f t="shared" si="5"/>
        <v>0</v>
      </c>
      <c r="AJ52">
        <f>+VALUE(A52)</f>
        <v>0</v>
      </c>
      <c r="AK52">
        <f>+B52</f>
        <v>0</v>
      </c>
      <c r="AL52">
        <f>+VALUE(C52)</f>
        <v>0</v>
      </c>
      <c r="AM52">
        <f>+VALUE(D52)</f>
        <v>0</v>
      </c>
      <c r="AN52">
        <f>+VALUE(E52)</f>
        <v>0</v>
      </c>
      <c r="AO52">
        <f>+VALUE(F52)</f>
        <v>0</v>
      </c>
      <c r="AP52">
        <f>+VALUE(G52)</f>
        <v>0</v>
      </c>
      <c r="AQ52">
        <f>+VALUE(H52)</f>
        <v>0</v>
      </c>
      <c r="AR52">
        <f>+VALUE(I52)</f>
        <v>0</v>
      </c>
      <c r="AS52">
        <f>+VALUE(J52)</f>
        <v>0</v>
      </c>
      <c r="BC52" t="str">
        <f>+IF(LEN(T52)&gt;0,T52,"")</f>
        <v/>
      </c>
      <c r="BD52">
        <f>+U52</f>
        <v>0</v>
      </c>
      <c r="BE52">
        <f>+V52</f>
        <v>0</v>
      </c>
      <c r="BF52">
        <f>+VALUE(W52)</f>
        <v>0</v>
      </c>
      <c r="BG52">
        <f>+VALUE(X52)</f>
        <v>0</v>
      </c>
      <c r="BH52">
        <f>+VALUE(Y52)</f>
        <v>0</v>
      </c>
      <c r="BI52">
        <f>+VALUE(Z52)</f>
        <v>0</v>
      </c>
    </row>
    <row r="53" spans="1:61">
      <c r="A53" s="85"/>
      <c r="B53" s="85"/>
      <c r="C53" s="85"/>
      <c r="D53" s="85"/>
      <c r="E53" s="85"/>
      <c r="F53" s="85"/>
      <c r="G53" s="85"/>
      <c r="H53" s="85"/>
      <c r="I53" s="85"/>
      <c r="J53" s="85"/>
      <c r="T53" s="85"/>
      <c r="U53" s="85"/>
      <c r="V53" s="85"/>
      <c r="W53" s="85"/>
      <c r="X53" s="85"/>
      <c r="Y53" s="85"/>
      <c r="Z53" s="85"/>
      <c r="AA53" s="85"/>
      <c r="AB53" s="85"/>
      <c r="AG53" s="89">
        <f t="shared" si="3"/>
        <v>0</v>
      </c>
      <c r="AH53" s="89">
        <f t="shared" si="4"/>
        <v>0</v>
      </c>
      <c r="AI53" s="89">
        <f t="shared" si="5"/>
        <v>0</v>
      </c>
      <c r="AJ53">
        <f>+VALUE(A53)</f>
        <v>0</v>
      </c>
      <c r="AK53">
        <f>+B53</f>
        <v>0</v>
      </c>
      <c r="AL53">
        <f>+VALUE(C53)</f>
        <v>0</v>
      </c>
      <c r="AM53">
        <f>+VALUE(D53)</f>
        <v>0</v>
      </c>
      <c r="AN53">
        <f>+VALUE(E53)</f>
        <v>0</v>
      </c>
      <c r="AO53">
        <f>+VALUE(F53)</f>
        <v>0</v>
      </c>
      <c r="AP53">
        <f>+VALUE(G53)</f>
        <v>0</v>
      </c>
      <c r="AQ53">
        <f>+VALUE(H53)</f>
        <v>0</v>
      </c>
      <c r="AR53">
        <f>+VALUE(I53)</f>
        <v>0</v>
      </c>
      <c r="AS53">
        <f>+VALUE(J53)</f>
        <v>0</v>
      </c>
      <c r="BC53" t="str">
        <f>+IF(LEN(T53)&gt;0,T53,"")</f>
        <v/>
      </c>
      <c r="BD53">
        <f>+U53</f>
        <v>0</v>
      </c>
      <c r="BE53">
        <f>+V53</f>
        <v>0</v>
      </c>
      <c r="BF53">
        <f>+VALUE(W53)</f>
        <v>0</v>
      </c>
      <c r="BG53">
        <f>+VALUE(X53)</f>
        <v>0</v>
      </c>
      <c r="BH53">
        <f>+VALUE(Y53)</f>
        <v>0</v>
      </c>
      <c r="BI53">
        <f>+VALUE(Z53)</f>
        <v>0</v>
      </c>
    </row>
    <row r="54" spans="1:61">
      <c r="A54" s="85"/>
      <c r="B54" s="85"/>
      <c r="C54" s="85"/>
      <c r="D54" s="85"/>
      <c r="E54" s="85"/>
      <c r="F54" s="85"/>
      <c r="G54" s="85"/>
      <c r="H54" s="85"/>
      <c r="I54" s="85"/>
      <c r="J54" s="85"/>
      <c r="T54" s="85"/>
      <c r="U54" s="85"/>
      <c r="V54" s="85"/>
      <c r="W54" s="85"/>
      <c r="X54" s="85"/>
      <c r="Y54" s="85"/>
      <c r="Z54" s="85"/>
      <c r="AA54" s="85"/>
      <c r="AB54" s="85"/>
      <c r="AG54" s="89">
        <f t="shared" si="3"/>
        <v>0</v>
      </c>
      <c r="AH54" s="89">
        <f t="shared" si="4"/>
        <v>0</v>
      </c>
      <c r="AI54" s="89">
        <f t="shared" si="5"/>
        <v>0</v>
      </c>
      <c r="AJ54">
        <f>+VALUE(A54)</f>
        <v>0</v>
      </c>
      <c r="AK54">
        <f>+B54</f>
        <v>0</v>
      </c>
      <c r="AL54">
        <f>+VALUE(C54)</f>
        <v>0</v>
      </c>
      <c r="AM54">
        <f>+VALUE(D54)</f>
        <v>0</v>
      </c>
      <c r="AN54">
        <f>+VALUE(E54)</f>
        <v>0</v>
      </c>
      <c r="AO54">
        <f>+VALUE(F54)</f>
        <v>0</v>
      </c>
      <c r="AP54">
        <f>+VALUE(G54)</f>
        <v>0</v>
      </c>
      <c r="AQ54">
        <f>+VALUE(H54)</f>
        <v>0</v>
      </c>
      <c r="AR54">
        <f>+VALUE(I54)</f>
        <v>0</v>
      </c>
      <c r="AS54">
        <f>+VALUE(J54)</f>
        <v>0</v>
      </c>
      <c r="BC54" t="str">
        <f>+IF(LEN(T54)&gt;0,T54,"")</f>
        <v/>
      </c>
      <c r="BD54">
        <f>+U54</f>
        <v>0</v>
      </c>
      <c r="BE54">
        <f>+V54</f>
        <v>0</v>
      </c>
      <c r="BF54">
        <f>+VALUE(W54)</f>
        <v>0</v>
      </c>
      <c r="BG54">
        <f>+VALUE(X54)</f>
        <v>0</v>
      </c>
      <c r="BH54">
        <f>+VALUE(Y54)</f>
        <v>0</v>
      </c>
      <c r="BI54">
        <f>+VALUE(Z54)</f>
        <v>0</v>
      </c>
    </row>
    <row r="55" spans="1:61">
      <c r="A55" s="85"/>
      <c r="B55" s="85"/>
      <c r="C55" s="85"/>
      <c r="D55" s="85"/>
      <c r="E55" s="85"/>
      <c r="F55" s="85"/>
      <c r="G55" s="85"/>
      <c r="H55" s="85"/>
      <c r="I55" s="85"/>
      <c r="J55" s="85"/>
      <c r="T55" s="85"/>
      <c r="U55" s="85"/>
      <c r="V55" s="85"/>
      <c r="W55" s="85"/>
      <c r="X55" s="85"/>
      <c r="Y55" s="85"/>
      <c r="Z55" s="85"/>
      <c r="AA55" s="85"/>
      <c r="AB55" s="85"/>
      <c r="AG55" s="89">
        <f t="shared" si="3"/>
        <v>0</v>
      </c>
      <c r="AH55" s="89">
        <f t="shared" si="4"/>
        <v>0</v>
      </c>
      <c r="AI55" s="89">
        <f t="shared" si="5"/>
        <v>0</v>
      </c>
      <c r="AJ55">
        <f>+VALUE(A55)</f>
        <v>0</v>
      </c>
      <c r="AK55">
        <f>+B55</f>
        <v>0</v>
      </c>
      <c r="AL55">
        <f>+VALUE(C55)</f>
        <v>0</v>
      </c>
      <c r="AM55">
        <f>+VALUE(D55)</f>
        <v>0</v>
      </c>
      <c r="AN55">
        <f>+VALUE(E55)</f>
        <v>0</v>
      </c>
      <c r="AO55">
        <f>+VALUE(F55)</f>
        <v>0</v>
      </c>
      <c r="AP55">
        <f>+VALUE(G55)</f>
        <v>0</v>
      </c>
      <c r="AQ55">
        <f>+VALUE(H55)</f>
        <v>0</v>
      </c>
      <c r="AR55">
        <f>+VALUE(I55)</f>
        <v>0</v>
      </c>
      <c r="AS55">
        <f>+VALUE(J55)</f>
        <v>0</v>
      </c>
      <c r="BC55" t="str">
        <f>+IF(LEN(T55)&gt;0,T55,"")</f>
        <v/>
      </c>
      <c r="BD55">
        <f>+U55</f>
        <v>0</v>
      </c>
      <c r="BE55">
        <f>+V55</f>
        <v>0</v>
      </c>
      <c r="BF55">
        <f>+VALUE(W55)</f>
        <v>0</v>
      </c>
      <c r="BG55">
        <f>+VALUE(X55)</f>
        <v>0</v>
      </c>
      <c r="BH55">
        <f>+VALUE(Y55)</f>
        <v>0</v>
      </c>
      <c r="BI55">
        <f>+VALUE(Z55)</f>
        <v>0</v>
      </c>
    </row>
    <row r="56" spans="1:61">
      <c r="A56" s="85"/>
      <c r="B56" s="85"/>
      <c r="C56" s="85"/>
      <c r="D56" s="85"/>
      <c r="E56" s="85"/>
      <c r="F56" s="85"/>
      <c r="G56" s="85"/>
      <c r="H56" s="85"/>
      <c r="I56" s="85"/>
      <c r="J56" s="85"/>
      <c r="T56" s="85"/>
      <c r="U56" s="85"/>
      <c r="V56" s="85"/>
      <c r="W56" s="85"/>
      <c r="X56" s="85"/>
      <c r="Y56" s="85"/>
      <c r="Z56" s="85"/>
      <c r="AA56" s="85"/>
      <c r="AB56" s="85"/>
      <c r="AG56" s="89">
        <f t="shared" si="3"/>
        <v>0</v>
      </c>
      <c r="AH56" s="89">
        <f t="shared" si="4"/>
        <v>0</v>
      </c>
      <c r="AI56" s="89">
        <f t="shared" si="5"/>
        <v>0</v>
      </c>
      <c r="AJ56">
        <f>+VALUE(A56)</f>
        <v>0</v>
      </c>
      <c r="AK56">
        <f>+B56</f>
        <v>0</v>
      </c>
      <c r="AL56">
        <f>+VALUE(C56)</f>
        <v>0</v>
      </c>
      <c r="AM56">
        <f>+VALUE(D56)</f>
        <v>0</v>
      </c>
      <c r="AN56">
        <f>+VALUE(E56)</f>
        <v>0</v>
      </c>
      <c r="AO56">
        <f>+VALUE(F56)</f>
        <v>0</v>
      </c>
      <c r="AP56">
        <f>+VALUE(G56)</f>
        <v>0</v>
      </c>
      <c r="AQ56">
        <f>+VALUE(H56)</f>
        <v>0</v>
      </c>
      <c r="AR56">
        <f>+VALUE(I56)</f>
        <v>0</v>
      </c>
      <c r="AS56">
        <f>+VALUE(J56)</f>
        <v>0</v>
      </c>
      <c r="BC56" t="str">
        <f>+IF(LEN(T56)&gt;0,T56,"")</f>
        <v/>
      </c>
      <c r="BD56">
        <f>+U56</f>
        <v>0</v>
      </c>
      <c r="BE56">
        <f>+V56</f>
        <v>0</v>
      </c>
      <c r="BF56">
        <f>+VALUE(W56)</f>
        <v>0</v>
      </c>
      <c r="BG56">
        <f>+VALUE(X56)</f>
        <v>0</v>
      </c>
      <c r="BH56">
        <f>+VALUE(Y56)</f>
        <v>0</v>
      </c>
      <c r="BI56">
        <f>+VALUE(Z56)</f>
        <v>0</v>
      </c>
    </row>
    <row r="57" spans="1:61">
      <c r="A57" s="85"/>
      <c r="B57" s="85"/>
      <c r="C57" s="85"/>
      <c r="D57" s="85"/>
      <c r="E57" s="85"/>
      <c r="F57" s="85"/>
      <c r="G57" s="85"/>
      <c r="H57" s="85"/>
      <c r="I57" s="85"/>
      <c r="J57" s="85"/>
      <c r="T57" s="85"/>
      <c r="U57" s="85"/>
      <c r="V57" s="85"/>
      <c r="W57" s="85"/>
      <c r="X57" s="85"/>
      <c r="Y57" s="85"/>
      <c r="Z57" s="85"/>
      <c r="AA57" s="85"/>
      <c r="AB57" s="85"/>
      <c r="AG57" s="89">
        <f t="shared" si="3"/>
        <v>0</v>
      </c>
      <c r="AH57" s="89">
        <f t="shared" si="4"/>
        <v>0</v>
      </c>
      <c r="AI57" s="89">
        <f t="shared" si="5"/>
        <v>0</v>
      </c>
      <c r="AJ57">
        <f>+VALUE(A57)</f>
        <v>0</v>
      </c>
      <c r="AK57">
        <f>+B57</f>
        <v>0</v>
      </c>
      <c r="AL57">
        <f>+VALUE(C57)</f>
        <v>0</v>
      </c>
      <c r="AM57">
        <f>+VALUE(D57)</f>
        <v>0</v>
      </c>
      <c r="AN57">
        <f>+VALUE(E57)</f>
        <v>0</v>
      </c>
      <c r="AO57">
        <f>+VALUE(F57)</f>
        <v>0</v>
      </c>
      <c r="AP57">
        <f>+VALUE(G57)</f>
        <v>0</v>
      </c>
      <c r="AQ57">
        <f>+VALUE(H57)</f>
        <v>0</v>
      </c>
      <c r="AR57">
        <f>+VALUE(I57)</f>
        <v>0</v>
      </c>
      <c r="AS57">
        <f>+VALUE(J57)</f>
        <v>0</v>
      </c>
      <c r="BC57" t="str">
        <f>+IF(LEN(T57)&gt;0,T57,"")</f>
        <v/>
      </c>
      <c r="BD57">
        <f>+U57</f>
        <v>0</v>
      </c>
      <c r="BE57">
        <f>+V57</f>
        <v>0</v>
      </c>
      <c r="BF57">
        <f>+VALUE(W57)</f>
        <v>0</v>
      </c>
      <c r="BG57">
        <f>+VALUE(X57)</f>
        <v>0</v>
      </c>
      <c r="BH57">
        <f>+VALUE(Y57)</f>
        <v>0</v>
      </c>
      <c r="BI57">
        <f>+VALUE(Z57)</f>
        <v>0</v>
      </c>
    </row>
    <row r="58" spans="1:61">
      <c r="A58" s="85"/>
      <c r="B58" s="85"/>
      <c r="C58" s="85"/>
      <c r="D58" s="85"/>
      <c r="E58" s="85"/>
      <c r="F58" s="85"/>
      <c r="G58" s="85"/>
      <c r="H58" s="85"/>
      <c r="I58" s="85"/>
      <c r="J58" s="85"/>
      <c r="T58" s="85"/>
      <c r="U58" s="85"/>
      <c r="V58" s="85"/>
      <c r="W58" s="85"/>
      <c r="X58" s="85"/>
      <c r="Y58" s="85"/>
      <c r="Z58" s="85"/>
      <c r="AA58" s="85"/>
      <c r="AB58" s="85"/>
      <c r="AG58" s="89">
        <f t="shared" si="3"/>
        <v>0</v>
      </c>
      <c r="AH58" s="89">
        <f t="shared" si="4"/>
        <v>0</v>
      </c>
      <c r="AI58" s="89">
        <f t="shared" si="5"/>
        <v>0</v>
      </c>
      <c r="AJ58">
        <f>+VALUE(A58)</f>
        <v>0</v>
      </c>
      <c r="AK58">
        <f>+B58</f>
        <v>0</v>
      </c>
      <c r="AL58">
        <f>+VALUE(C58)</f>
        <v>0</v>
      </c>
      <c r="AM58">
        <f>+VALUE(D58)</f>
        <v>0</v>
      </c>
      <c r="AN58">
        <f>+VALUE(E58)</f>
        <v>0</v>
      </c>
      <c r="AO58">
        <f>+VALUE(F58)</f>
        <v>0</v>
      </c>
      <c r="AP58">
        <f>+VALUE(G58)</f>
        <v>0</v>
      </c>
      <c r="AQ58">
        <f>+VALUE(H58)</f>
        <v>0</v>
      </c>
      <c r="AR58">
        <f>+VALUE(I58)</f>
        <v>0</v>
      </c>
      <c r="AS58">
        <f>+VALUE(J58)</f>
        <v>0</v>
      </c>
      <c r="BC58" t="str">
        <f>+IF(LEN(T58)&gt;0,T58,"")</f>
        <v/>
      </c>
      <c r="BD58">
        <f>+U58</f>
        <v>0</v>
      </c>
      <c r="BE58">
        <f>+V58</f>
        <v>0</v>
      </c>
      <c r="BF58">
        <f>+VALUE(W58)</f>
        <v>0</v>
      </c>
      <c r="BG58">
        <f>+VALUE(X58)</f>
        <v>0</v>
      </c>
      <c r="BH58">
        <f>+VALUE(Y58)</f>
        <v>0</v>
      </c>
      <c r="BI58">
        <f>+VALUE(Z58)</f>
        <v>0</v>
      </c>
    </row>
    <row r="59" spans="1:61">
      <c r="A59" s="85"/>
      <c r="B59" s="85"/>
      <c r="C59" s="85"/>
      <c r="D59" s="85"/>
      <c r="E59" s="85"/>
      <c r="F59" s="85"/>
      <c r="G59" s="85"/>
      <c r="H59" s="85"/>
      <c r="I59" s="85"/>
      <c r="J59" s="85"/>
      <c r="T59" s="85"/>
      <c r="U59" s="85"/>
      <c r="V59" s="85"/>
      <c r="W59" s="85"/>
      <c r="X59" s="85"/>
      <c r="Y59" s="85"/>
      <c r="Z59" s="85"/>
      <c r="AA59" s="85"/>
      <c r="AB59" s="85"/>
      <c r="AG59" s="89">
        <f t="shared" si="3"/>
        <v>0</v>
      </c>
      <c r="AH59" s="89">
        <f t="shared" si="4"/>
        <v>0</v>
      </c>
      <c r="AI59" s="89">
        <f t="shared" si="5"/>
        <v>0</v>
      </c>
      <c r="AJ59">
        <f>+VALUE(A59)</f>
        <v>0</v>
      </c>
      <c r="AK59">
        <f>+B59</f>
        <v>0</v>
      </c>
      <c r="AL59">
        <f>+VALUE(C59)</f>
        <v>0</v>
      </c>
      <c r="AM59">
        <f>+VALUE(D59)</f>
        <v>0</v>
      </c>
      <c r="AN59">
        <f>+VALUE(E59)</f>
        <v>0</v>
      </c>
      <c r="AO59">
        <f>+VALUE(F59)</f>
        <v>0</v>
      </c>
      <c r="AP59">
        <f>+VALUE(G59)</f>
        <v>0</v>
      </c>
      <c r="AQ59">
        <f>+VALUE(H59)</f>
        <v>0</v>
      </c>
      <c r="AR59">
        <f>+VALUE(I59)</f>
        <v>0</v>
      </c>
      <c r="AS59">
        <f>+VALUE(J59)</f>
        <v>0</v>
      </c>
      <c r="BC59" t="str">
        <f>+IF(LEN(T59)&gt;0,T59,"")</f>
        <v/>
      </c>
      <c r="BD59">
        <f>+U59</f>
        <v>0</v>
      </c>
      <c r="BE59">
        <f>+V59</f>
        <v>0</v>
      </c>
      <c r="BF59">
        <f>+VALUE(W59)</f>
        <v>0</v>
      </c>
      <c r="BG59">
        <f>+VALUE(X59)</f>
        <v>0</v>
      </c>
      <c r="BH59">
        <f>+VALUE(Y59)</f>
        <v>0</v>
      </c>
      <c r="BI59">
        <f>+VALUE(Z59)</f>
        <v>0</v>
      </c>
    </row>
    <row r="60" spans="1:61">
      <c r="A60" s="85"/>
      <c r="B60" s="85"/>
      <c r="C60" s="85"/>
      <c r="D60" s="85"/>
      <c r="E60" s="85"/>
      <c r="F60" s="85"/>
      <c r="G60" s="85"/>
      <c r="H60" s="85"/>
      <c r="I60" s="85"/>
      <c r="J60" s="85"/>
      <c r="T60" s="85"/>
      <c r="U60" s="85"/>
      <c r="V60" s="85"/>
      <c r="W60" s="85"/>
      <c r="X60" s="85"/>
      <c r="Y60" s="85"/>
      <c r="Z60" s="85"/>
      <c r="AA60" s="85"/>
      <c r="AB60" s="85"/>
      <c r="AG60" s="89">
        <f t="shared" si="3"/>
        <v>0</v>
      </c>
      <c r="AH60" s="89">
        <f t="shared" si="4"/>
        <v>0</v>
      </c>
      <c r="AI60" s="89">
        <f t="shared" si="5"/>
        <v>0</v>
      </c>
      <c r="AJ60">
        <f>+VALUE(A60)</f>
        <v>0</v>
      </c>
      <c r="AK60">
        <f>+B60</f>
        <v>0</v>
      </c>
      <c r="AL60">
        <f>+VALUE(C60)</f>
        <v>0</v>
      </c>
      <c r="AM60">
        <f>+VALUE(D60)</f>
        <v>0</v>
      </c>
      <c r="AN60">
        <f>+VALUE(E60)</f>
        <v>0</v>
      </c>
      <c r="AO60">
        <f>+VALUE(F60)</f>
        <v>0</v>
      </c>
      <c r="AP60">
        <f>+VALUE(G60)</f>
        <v>0</v>
      </c>
      <c r="AQ60">
        <f>+VALUE(H60)</f>
        <v>0</v>
      </c>
      <c r="AR60">
        <f>+VALUE(I60)</f>
        <v>0</v>
      </c>
      <c r="AS60">
        <f>+VALUE(J60)</f>
        <v>0</v>
      </c>
      <c r="BC60" t="str">
        <f>+IF(LEN(T60)&gt;0,T60,"")</f>
        <v/>
      </c>
      <c r="BD60">
        <f>+U60</f>
        <v>0</v>
      </c>
      <c r="BE60">
        <f>+V60</f>
        <v>0</v>
      </c>
      <c r="BF60">
        <f>+VALUE(W60)</f>
        <v>0</v>
      </c>
      <c r="BG60">
        <f>+VALUE(X60)</f>
        <v>0</v>
      </c>
      <c r="BH60">
        <f>+VALUE(Y60)</f>
        <v>0</v>
      </c>
      <c r="BI60">
        <f>+VALUE(Z60)</f>
        <v>0</v>
      </c>
    </row>
    <row r="61" spans="1:61">
      <c r="A61" s="85"/>
      <c r="B61" s="85"/>
      <c r="C61" s="85"/>
      <c r="D61" s="85"/>
      <c r="E61" s="85"/>
      <c r="F61" s="85"/>
      <c r="G61" s="85"/>
      <c r="H61" s="85"/>
      <c r="I61" s="85"/>
      <c r="J61" s="85"/>
      <c r="T61" s="85"/>
      <c r="U61" s="85"/>
      <c r="V61" s="85"/>
      <c r="W61" s="85"/>
      <c r="X61" s="85"/>
      <c r="Y61" s="85"/>
      <c r="Z61" s="85"/>
      <c r="AA61" s="85"/>
      <c r="AB61" s="85"/>
      <c r="AG61" s="89">
        <f t="shared" si="3"/>
        <v>0</v>
      </c>
      <c r="AH61" s="89">
        <f t="shared" si="4"/>
        <v>0</v>
      </c>
      <c r="AI61" s="89">
        <f t="shared" si="5"/>
        <v>0</v>
      </c>
      <c r="AJ61">
        <f>+VALUE(A61)</f>
        <v>0</v>
      </c>
      <c r="AK61">
        <f>+B61</f>
        <v>0</v>
      </c>
      <c r="AL61">
        <f>+VALUE(C61)</f>
        <v>0</v>
      </c>
      <c r="AM61">
        <f>+VALUE(D61)</f>
        <v>0</v>
      </c>
      <c r="AN61">
        <f>+VALUE(E61)</f>
        <v>0</v>
      </c>
      <c r="AO61">
        <f>+VALUE(F61)</f>
        <v>0</v>
      </c>
      <c r="AP61">
        <f>+VALUE(G61)</f>
        <v>0</v>
      </c>
      <c r="AQ61">
        <f>+VALUE(H61)</f>
        <v>0</v>
      </c>
      <c r="AR61">
        <f>+VALUE(I61)</f>
        <v>0</v>
      </c>
      <c r="AS61">
        <f>+VALUE(J61)</f>
        <v>0</v>
      </c>
      <c r="BC61" t="str">
        <f>+IF(LEN(T61)&gt;0,T61,"")</f>
        <v/>
      </c>
      <c r="BD61">
        <f>+U61</f>
        <v>0</v>
      </c>
      <c r="BE61">
        <f>+V61</f>
        <v>0</v>
      </c>
      <c r="BF61">
        <f>+VALUE(W61)</f>
        <v>0</v>
      </c>
      <c r="BG61">
        <f>+VALUE(X61)</f>
        <v>0</v>
      </c>
      <c r="BH61">
        <f>+VALUE(Y61)</f>
        <v>0</v>
      </c>
      <c r="BI61">
        <f>+VALUE(Z61)</f>
        <v>0</v>
      </c>
    </row>
    <row r="62" spans="1:61">
      <c r="A62" s="85"/>
      <c r="B62" s="85"/>
      <c r="C62" s="85"/>
      <c r="D62" s="85"/>
      <c r="E62" s="85"/>
      <c r="F62" s="85"/>
      <c r="G62" s="85"/>
      <c r="H62" s="85"/>
      <c r="I62" s="85"/>
      <c r="J62" s="85"/>
      <c r="T62" s="85"/>
      <c r="U62" s="85"/>
      <c r="V62" s="85"/>
      <c r="W62" s="85"/>
      <c r="X62" s="85"/>
      <c r="Y62" s="85"/>
      <c r="Z62" s="85"/>
      <c r="AA62" s="85"/>
      <c r="AB62" s="85"/>
      <c r="AG62" s="89">
        <f t="shared" si="3"/>
        <v>0</v>
      </c>
      <c r="AH62" s="89">
        <f t="shared" si="4"/>
        <v>0</v>
      </c>
      <c r="AI62" s="89">
        <f t="shared" si="5"/>
        <v>0</v>
      </c>
      <c r="AJ62">
        <f>+VALUE(A62)</f>
        <v>0</v>
      </c>
      <c r="AK62">
        <f>+B62</f>
        <v>0</v>
      </c>
      <c r="AL62">
        <f>+VALUE(C62)</f>
        <v>0</v>
      </c>
      <c r="AM62">
        <f>+VALUE(D62)</f>
        <v>0</v>
      </c>
      <c r="AN62">
        <f>+VALUE(E62)</f>
        <v>0</v>
      </c>
      <c r="AO62">
        <f>+VALUE(F62)</f>
        <v>0</v>
      </c>
      <c r="AP62">
        <f>+VALUE(G62)</f>
        <v>0</v>
      </c>
      <c r="AQ62">
        <f>+VALUE(H62)</f>
        <v>0</v>
      </c>
      <c r="AR62">
        <f>+VALUE(I62)</f>
        <v>0</v>
      </c>
      <c r="AS62">
        <f>+VALUE(J62)</f>
        <v>0</v>
      </c>
      <c r="BC62" t="str">
        <f>+IF(LEN(T62)&gt;0,T62,"")</f>
        <v/>
      </c>
      <c r="BD62">
        <f>+U62</f>
        <v>0</v>
      </c>
      <c r="BE62">
        <f>+V62</f>
        <v>0</v>
      </c>
      <c r="BF62">
        <f>+VALUE(W62)</f>
        <v>0</v>
      </c>
      <c r="BG62">
        <f>+VALUE(X62)</f>
        <v>0</v>
      </c>
      <c r="BH62">
        <f>+VALUE(Y62)</f>
        <v>0</v>
      </c>
      <c r="BI62">
        <f>+VALUE(Z62)</f>
        <v>0</v>
      </c>
    </row>
    <row r="63" spans="1:61">
      <c r="A63" s="85"/>
      <c r="B63" s="85"/>
      <c r="C63" s="85"/>
      <c r="D63" s="85"/>
      <c r="E63" s="85"/>
      <c r="F63" s="85"/>
      <c r="G63" s="85"/>
      <c r="H63" s="85"/>
      <c r="I63" s="85"/>
      <c r="J63" s="85"/>
      <c r="T63" s="85"/>
      <c r="U63" s="85"/>
      <c r="V63" s="85"/>
      <c r="W63" s="85"/>
      <c r="X63" s="85"/>
      <c r="Y63" s="85"/>
      <c r="Z63" s="85"/>
      <c r="AA63" s="85"/>
      <c r="AB63" s="85"/>
      <c r="AG63" s="89">
        <f t="shared" si="3"/>
        <v>0</v>
      </c>
      <c r="AH63" s="89">
        <f t="shared" si="4"/>
        <v>0</v>
      </c>
      <c r="AI63" s="89">
        <f t="shared" si="5"/>
        <v>0</v>
      </c>
      <c r="AJ63">
        <f>+VALUE(A63)</f>
        <v>0</v>
      </c>
      <c r="AK63">
        <f>+B63</f>
        <v>0</v>
      </c>
      <c r="AL63">
        <f>+VALUE(C63)</f>
        <v>0</v>
      </c>
      <c r="AM63">
        <f>+VALUE(D63)</f>
        <v>0</v>
      </c>
      <c r="AN63">
        <f>+VALUE(E63)</f>
        <v>0</v>
      </c>
      <c r="AO63">
        <f>+VALUE(F63)</f>
        <v>0</v>
      </c>
      <c r="AP63">
        <f>+VALUE(G63)</f>
        <v>0</v>
      </c>
      <c r="AQ63">
        <f>+VALUE(H63)</f>
        <v>0</v>
      </c>
      <c r="AR63">
        <f>+VALUE(I63)</f>
        <v>0</v>
      </c>
      <c r="AS63">
        <f>+VALUE(J63)</f>
        <v>0</v>
      </c>
      <c r="BC63" t="str">
        <f>+IF(LEN(T63)&gt;0,T63,"")</f>
        <v/>
      </c>
      <c r="BD63">
        <f>+U63</f>
        <v>0</v>
      </c>
      <c r="BE63">
        <f>+V63</f>
        <v>0</v>
      </c>
      <c r="BF63">
        <f>+VALUE(W63)</f>
        <v>0</v>
      </c>
      <c r="BG63">
        <f>+VALUE(X63)</f>
        <v>0</v>
      </c>
      <c r="BH63">
        <f>+VALUE(Y63)</f>
        <v>0</v>
      </c>
      <c r="BI63">
        <f>+VALUE(Z63)</f>
        <v>0</v>
      </c>
    </row>
    <row r="64" spans="1:61">
      <c r="A64" s="85"/>
      <c r="B64" s="85"/>
      <c r="C64" s="85"/>
      <c r="D64" s="85"/>
      <c r="E64" s="85"/>
      <c r="F64" s="85"/>
      <c r="G64" s="85"/>
      <c r="H64" s="85"/>
      <c r="I64" s="85"/>
      <c r="J64" s="85"/>
      <c r="T64" s="85"/>
      <c r="U64" s="85"/>
      <c r="V64" s="85"/>
      <c r="W64" s="85"/>
      <c r="X64" s="85"/>
      <c r="Y64" s="85"/>
      <c r="Z64" s="85"/>
      <c r="AA64" s="85"/>
      <c r="AB64" s="85"/>
      <c r="AG64" s="89">
        <f t="shared" si="3"/>
        <v>0</v>
      </c>
      <c r="AH64" s="89">
        <f t="shared" si="4"/>
        <v>0</v>
      </c>
      <c r="AI64" s="89">
        <f t="shared" si="5"/>
        <v>0</v>
      </c>
      <c r="AJ64">
        <f>+VALUE(A64)</f>
        <v>0</v>
      </c>
      <c r="AK64">
        <f>+B64</f>
        <v>0</v>
      </c>
      <c r="AL64">
        <f>+VALUE(C64)</f>
        <v>0</v>
      </c>
      <c r="AM64">
        <f>+VALUE(D64)</f>
        <v>0</v>
      </c>
      <c r="AN64">
        <f>+VALUE(E64)</f>
        <v>0</v>
      </c>
      <c r="AO64">
        <f>+VALUE(F64)</f>
        <v>0</v>
      </c>
      <c r="AP64">
        <f>+VALUE(G64)</f>
        <v>0</v>
      </c>
      <c r="AQ64">
        <f>+VALUE(H64)</f>
        <v>0</v>
      </c>
      <c r="AR64">
        <f>+VALUE(I64)</f>
        <v>0</v>
      </c>
      <c r="AS64">
        <f>+VALUE(J64)</f>
        <v>0</v>
      </c>
      <c r="BC64" t="str">
        <f>+IF(LEN(T64)&gt;0,T64,"")</f>
        <v/>
      </c>
      <c r="BD64">
        <f>+U64</f>
        <v>0</v>
      </c>
      <c r="BE64">
        <f>+V64</f>
        <v>0</v>
      </c>
      <c r="BF64">
        <f>+VALUE(W64)</f>
        <v>0</v>
      </c>
      <c r="BG64">
        <f>+VALUE(X64)</f>
        <v>0</v>
      </c>
      <c r="BH64">
        <f>+VALUE(Y64)</f>
        <v>0</v>
      </c>
      <c r="BI64">
        <f>+VALUE(Z64)</f>
        <v>0</v>
      </c>
    </row>
    <row r="65" spans="1:61">
      <c r="A65" s="85"/>
      <c r="B65" s="85"/>
      <c r="C65" s="85"/>
      <c r="D65" s="85"/>
      <c r="E65" s="85"/>
      <c r="F65" s="85"/>
      <c r="G65" s="85"/>
      <c r="H65" s="85"/>
      <c r="I65" s="85"/>
      <c r="J65" s="85"/>
      <c r="T65" s="85"/>
      <c r="U65" s="85"/>
      <c r="V65" s="85"/>
      <c r="W65" s="85"/>
      <c r="X65" s="85"/>
      <c r="Y65" s="85"/>
      <c r="Z65" s="85"/>
      <c r="AA65" s="85"/>
      <c r="AB65" s="85"/>
      <c r="AG65" s="89">
        <f t="shared" si="3"/>
        <v>0</v>
      </c>
      <c r="AH65" s="89">
        <f t="shared" si="4"/>
        <v>0</v>
      </c>
      <c r="AI65" s="89">
        <f t="shared" si="5"/>
        <v>0</v>
      </c>
      <c r="AJ65">
        <f>+VALUE(A65)</f>
        <v>0</v>
      </c>
      <c r="AK65">
        <f>+B65</f>
        <v>0</v>
      </c>
      <c r="AL65">
        <f>+VALUE(C65)</f>
        <v>0</v>
      </c>
      <c r="AM65">
        <f>+VALUE(D65)</f>
        <v>0</v>
      </c>
      <c r="AN65">
        <f>+VALUE(E65)</f>
        <v>0</v>
      </c>
      <c r="AO65">
        <f>+VALUE(F65)</f>
        <v>0</v>
      </c>
      <c r="AP65">
        <f>+VALUE(G65)</f>
        <v>0</v>
      </c>
      <c r="AQ65">
        <f>+VALUE(H65)</f>
        <v>0</v>
      </c>
      <c r="AR65">
        <f>+VALUE(I65)</f>
        <v>0</v>
      </c>
      <c r="AS65">
        <f>+VALUE(J65)</f>
        <v>0</v>
      </c>
      <c r="BC65" t="str">
        <f>+IF(LEN(T65)&gt;0,T65,"")</f>
        <v/>
      </c>
      <c r="BD65">
        <f>+U65</f>
        <v>0</v>
      </c>
      <c r="BE65">
        <f>+V65</f>
        <v>0</v>
      </c>
      <c r="BF65">
        <f>+VALUE(W65)</f>
        <v>0</v>
      </c>
      <c r="BG65">
        <f>+VALUE(X65)</f>
        <v>0</v>
      </c>
      <c r="BH65">
        <f>+VALUE(Y65)</f>
        <v>0</v>
      </c>
      <c r="BI65">
        <f>+VALUE(Z65)</f>
        <v>0</v>
      </c>
    </row>
    <row r="66" spans="1:61">
      <c r="A66" s="85"/>
      <c r="B66" s="85"/>
      <c r="C66" s="85"/>
      <c r="D66" s="85"/>
      <c r="E66" s="85"/>
      <c r="F66" s="85"/>
      <c r="G66" s="85"/>
      <c r="H66" s="85"/>
      <c r="I66" s="85"/>
      <c r="J66" s="85"/>
      <c r="T66" s="85"/>
      <c r="U66" s="85"/>
      <c r="V66" s="85"/>
      <c r="W66" s="85"/>
      <c r="X66" s="85"/>
      <c r="Y66" s="85"/>
      <c r="Z66" s="85"/>
      <c r="AA66" s="85"/>
      <c r="AB66" s="85"/>
      <c r="AG66" s="89">
        <f t="shared" ref="AG66:AG101" si="6">+IF(AJ66=ParamCOCostCode,AQ66,0)</f>
        <v>0</v>
      </c>
      <c r="AH66" s="89">
        <f t="shared" ref="AH66:AH101" si="7">+IF(AJ66=ParamCOCostCode,AL66+AN66,0)</f>
        <v>0</v>
      </c>
      <c r="AI66" s="89">
        <f t="shared" ref="AI66:AI97" si="8">IF(AJ66=ParamCOCostCode,0,AP66)</f>
        <v>0</v>
      </c>
      <c r="AJ66">
        <f>+VALUE(A66)</f>
        <v>0</v>
      </c>
      <c r="AK66">
        <f>+B66</f>
        <v>0</v>
      </c>
      <c r="AL66">
        <f>+VALUE(C66)</f>
        <v>0</v>
      </c>
      <c r="AM66">
        <f>+VALUE(D66)</f>
        <v>0</v>
      </c>
      <c r="AN66">
        <f>+VALUE(E66)</f>
        <v>0</v>
      </c>
      <c r="AO66">
        <f>+VALUE(F66)</f>
        <v>0</v>
      </c>
      <c r="AP66">
        <f>+VALUE(G66)</f>
        <v>0</v>
      </c>
      <c r="AQ66">
        <f>+VALUE(H66)</f>
        <v>0</v>
      </c>
      <c r="AR66">
        <f>+VALUE(I66)</f>
        <v>0</v>
      </c>
      <c r="AS66">
        <f>+VALUE(J66)</f>
        <v>0</v>
      </c>
      <c r="BC66" t="str">
        <f>+IF(LEN(T66)&gt;0,T66,"")</f>
        <v/>
      </c>
      <c r="BD66">
        <f>+U66</f>
        <v>0</v>
      </c>
      <c r="BE66">
        <f>+V66</f>
        <v>0</v>
      </c>
      <c r="BF66">
        <f>+VALUE(W66)</f>
        <v>0</v>
      </c>
      <c r="BG66">
        <f>+VALUE(X66)</f>
        <v>0</v>
      </c>
      <c r="BH66">
        <f>+VALUE(Y66)</f>
        <v>0</v>
      </c>
      <c r="BI66">
        <f>+VALUE(Z66)</f>
        <v>0</v>
      </c>
    </row>
    <row r="67" spans="1:61">
      <c r="A67" s="85"/>
      <c r="B67" s="85"/>
      <c r="C67" s="85"/>
      <c r="D67" s="85"/>
      <c r="E67" s="85"/>
      <c r="F67" s="85"/>
      <c r="G67" s="85"/>
      <c r="H67" s="85"/>
      <c r="I67" s="85"/>
      <c r="J67" s="85"/>
      <c r="T67" s="85"/>
      <c r="U67" s="85"/>
      <c r="V67" s="85"/>
      <c r="W67" s="85"/>
      <c r="X67" s="85"/>
      <c r="Y67" s="85"/>
      <c r="Z67" s="85"/>
      <c r="AA67" s="85"/>
      <c r="AB67" s="85"/>
      <c r="AG67" s="89">
        <f t="shared" si="6"/>
        <v>0</v>
      </c>
      <c r="AH67" s="89">
        <f t="shared" si="7"/>
        <v>0</v>
      </c>
      <c r="AI67" s="89">
        <f t="shared" si="8"/>
        <v>0</v>
      </c>
      <c r="AJ67">
        <f>+VALUE(A67)</f>
        <v>0</v>
      </c>
      <c r="AK67">
        <f>+B67</f>
        <v>0</v>
      </c>
      <c r="AL67">
        <f>+VALUE(C67)</f>
        <v>0</v>
      </c>
      <c r="AM67">
        <f>+VALUE(D67)</f>
        <v>0</v>
      </c>
      <c r="AN67">
        <f>+VALUE(E67)</f>
        <v>0</v>
      </c>
      <c r="AO67">
        <f>+VALUE(F67)</f>
        <v>0</v>
      </c>
      <c r="AP67">
        <f>+VALUE(G67)</f>
        <v>0</v>
      </c>
      <c r="AQ67">
        <f>+VALUE(H67)</f>
        <v>0</v>
      </c>
      <c r="AR67">
        <f>+VALUE(I67)</f>
        <v>0</v>
      </c>
      <c r="AS67">
        <f>+VALUE(J67)</f>
        <v>0</v>
      </c>
      <c r="BC67" t="str">
        <f>+IF(LEN(T67)&gt;0,T67,"")</f>
        <v/>
      </c>
      <c r="BD67">
        <f>+U67</f>
        <v>0</v>
      </c>
      <c r="BE67">
        <f>+V67</f>
        <v>0</v>
      </c>
      <c r="BF67">
        <f>+VALUE(W67)</f>
        <v>0</v>
      </c>
      <c r="BG67">
        <f>+VALUE(X67)</f>
        <v>0</v>
      </c>
      <c r="BH67">
        <f>+VALUE(Y67)</f>
        <v>0</v>
      </c>
      <c r="BI67">
        <f>+VALUE(Z67)</f>
        <v>0</v>
      </c>
    </row>
    <row r="68" spans="1:61">
      <c r="A68" s="85"/>
      <c r="B68" s="85"/>
      <c r="C68" s="85"/>
      <c r="D68" s="85"/>
      <c r="E68" s="85"/>
      <c r="F68" s="85"/>
      <c r="G68" s="85"/>
      <c r="H68" s="85"/>
      <c r="I68" s="85"/>
      <c r="J68" s="85"/>
      <c r="T68" s="85"/>
      <c r="U68" s="85"/>
      <c r="V68" s="85"/>
      <c r="W68" s="85"/>
      <c r="X68" s="85"/>
      <c r="Y68" s="85"/>
      <c r="Z68" s="85"/>
      <c r="AA68" s="85"/>
      <c r="AB68" s="85"/>
      <c r="AG68" s="89">
        <f t="shared" si="6"/>
        <v>0</v>
      </c>
      <c r="AH68" s="89">
        <f t="shared" si="7"/>
        <v>0</v>
      </c>
      <c r="AI68" s="89">
        <f t="shared" si="8"/>
        <v>0</v>
      </c>
      <c r="AJ68">
        <f>+VALUE(A68)</f>
        <v>0</v>
      </c>
      <c r="AK68">
        <f>+B68</f>
        <v>0</v>
      </c>
      <c r="AL68">
        <f>+VALUE(C68)</f>
        <v>0</v>
      </c>
      <c r="AM68">
        <f>+VALUE(D68)</f>
        <v>0</v>
      </c>
      <c r="AN68">
        <f>+VALUE(E68)</f>
        <v>0</v>
      </c>
      <c r="AO68">
        <f>+VALUE(F68)</f>
        <v>0</v>
      </c>
      <c r="AP68">
        <f>+VALUE(G68)</f>
        <v>0</v>
      </c>
      <c r="AQ68">
        <f>+VALUE(H68)</f>
        <v>0</v>
      </c>
      <c r="AR68">
        <f>+VALUE(I68)</f>
        <v>0</v>
      </c>
      <c r="AS68">
        <f>+VALUE(J68)</f>
        <v>0</v>
      </c>
      <c r="BC68" t="str">
        <f>+IF(LEN(T68)&gt;0,T68,"")</f>
        <v/>
      </c>
      <c r="BD68">
        <f>+U68</f>
        <v>0</v>
      </c>
      <c r="BE68">
        <f>+V68</f>
        <v>0</v>
      </c>
      <c r="BF68">
        <f>+VALUE(W68)</f>
        <v>0</v>
      </c>
      <c r="BG68">
        <f>+VALUE(X68)</f>
        <v>0</v>
      </c>
      <c r="BH68">
        <f>+VALUE(Y68)</f>
        <v>0</v>
      </c>
      <c r="BI68">
        <f>+VALUE(Z68)</f>
        <v>0</v>
      </c>
    </row>
    <row r="69" spans="1:61">
      <c r="A69" s="85"/>
      <c r="B69" s="85"/>
      <c r="C69" s="85"/>
      <c r="D69" s="85"/>
      <c r="E69" s="85"/>
      <c r="F69" s="85"/>
      <c r="G69" s="85"/>
      <c r="H69" s="85"/>
      <c r="I69" s="85"/>
      <c r="J69" s="85"/>
      <c r="T69" s="85"/>
      <c r="U69" s="85"/>
      <c r="V69" s="85"/>
      <c r="W69" s="85"/>
      <c r="X69" s="85"/>
      <c r="Y69" s="85"/>
      <c r="Z69" s="85"/>
      <c r="AA69" s="85"/>
      <c r="AB69" s="85"/>
      <c r="AG69" s="89">
        <f t="shared" si="6"/>
        <v>0</v>
      </c>
      <c r="AH69" s="89">
        <f t="shared" si="7"/>
        <v>0</v>
      </c>
      <c r="AI69" s="89">
        <f t="shared" si="8"/>
        <v>0</v>
      </c>
      <c r="AJ69">
        <f>+VALUE(A69)</f>
        <v>0</v>
      </c>
      <c r="AK69">
        <f>+B69</f>
        <v>0</v>
      </c>
      <c r="AL69">
        <f>+VALUE(C69)</f>
        <v>0</v>
      </c>
      <c r="AM69">
        <f>+VALUE(D69)</f>
        <v>0</v>
      </c>
      <c r="AN69">
        <f>+VALUE(E69)</f>
        <v>0</v>
      </c>
      <c r="AO69">
        <f>+VALUE(F69)</f>
        <v>0</v>
      </c>
      <c r="AP69">
        <f>+VALUE(G69)</f>
        <v>0</v>
      </c>
      <c r="AQ69">
        <f>+VALUE(H69)</f>
        <v>0</v>
      </c>
      <c r="AR69">
        <f>+VALUE(I69)</f>
        <v>0</v>
      </c>
      <c r="AS69">
        <f>+VALUE(J69)</f>
        <v>0</v>
      </c>
      <c r="BC69" t="str">
        <f>+IF(LEN(T69)&gt;0,T69,"")</f>
        <v/>
      </c>
      <c r="BD69">
        <f>+U69</f>
        <v>0</v>
      </c>
      <c r="BE69">
        <f>+V69</f>
        <v>0</v>
      </c>
      <c r="BF69">
        <f>+VALUE(W69)</f>
        <v>0</v>
      </c>
      <c r="BG69">
        <f>+VALUE(X69)</f>
        <v>0</v>
      </c>
      <c r="BH69">
        <f>+VALUE(Y69)</f>
        <v>0</v>
      </c>
      <c r="BI69">
        <f>+VALUE(Z69)</f>
        <v>0</v>
      </c>
    </row>
    <row r="70" spans="1:61">
      <c r="A70" s="85"/>
      <c r="B70" s="85"/>
      <c r="C70" s="85"/>
      <c r="D70" s="85"/>
      <c r="E70" s="85"/>
      <c r="F70" s="85"/>
      <c r="G70" s="85"/>
      <c r="H70" s="85"/>
      <c r="I70" s="85"/>
      <c r="J70" s="85"/>
      <c r="T70" s="85"/>
      <c r="U70" s="85"/>
      <c r="V70" s="85"/>
      <c r="W70" s="85"/>
      <c r="X70" s="85"/>
      <c r="Y70" s="85"/>
      <c r="Z70" s="85"/>
      <c r="AA70" s="85"/>
      <c r="AB70" s="85"/>
      <c r="AG70" s="89">
        <f t="shared" si="6"/>
        <v>0</v>
      </c>
      <c r="AH70" s="89">
        <f t="shared" si="7"/>
        <v>0</v>
      </c>
      <c r="AI70" s="89">
        <f t="shared" si="8"/>
        <v>0</v>
      </c>
      <c r="AJ70">
        <f>+VALUE(A70)</f>
        <v>0</v>
      </c>
      <c r="AK70">
        <f>+B70</f>
        <v>0</v>
      </c>
      <c r="AL70">
        <f>+VALUE(C70)</f>
        <v>0</v>
      </c>
      <c r="AM70">
        <f>+VALUE(D70)</f>
        <v>0</v>
      </c>
      <c r="AN70">
        <f>+VALUE(E70)</f>
        <v>0</v>
      </c>
      <c r="AO70">
        <f>+VALUE(F70)</f>
        <v>0</v>
      </c>
      <c r="AP70">
        <f>+VALUE(G70)</f>
        <v>0</v>
      </c>
      <c r="AQ70">
        <f>+VALUE(H70)</f>
        <v>0</v>
      </c>
      <c r="AR70">
        <f>+VALUE(I70)</f>
        <v>0</v>
      </c>
      <c r="AS70">
        <f>+VALUE(J70)</f>
        <v>0</v>
      </c>
      <c r="BC70" t="str">
        <f>+IF(LEN(T70)&gt;0,T70,"")</f>
        <v/>
      </c>
      <c r="BD70">
        <f>+U70</f>
        <v>0</v>
      </c>
      <c r="BE70">
        <f>+V70</f>
        <v>0</v>
      </c>
      <c r="BF70">
        <f>+VALUE(W70)</f>
        <v>0</v>
      </c>
      <c r="BG70">
        <f>+VALUE(X70)</f>
        <v>0</v>
      </c>
      <c r="BH70">
        <f>+VALUE(Y70)</f>
        <v>0</v>
      </c>
      <c r="BI70">
        <f>+VALUE(Z70)</f>
        <v>0</v>
      </c>
    </row>
    <row r="71" spans="1:61">
      <c r="A71" s="85"/>
      <c r="B71" s="85"/>
      <c r="C71" s="85"/>
      <c r="D71" s="85"/>
      <c r="E71" s="85"/>
      <c r="F71" s="85"/>
      <c r="G71" s="85"/>
      <c r="H71" s="85"/>
      <c r="I71" s="85"/>
      <c r="J71" s="85"/>
      <c r="T71" s="85"/>
      <c r="U71" s="85"/>
      <c r="V71" s="85"/>
      <c r="W71" s="85"/>
      <c r="X71" s="85"/>
      <c r="Y71" s="85"/>
      <c r="Z71" s="85"/>
      <c r="AA71" s="85"/>
      <c r="AB71" s="85"/>
      <c r="AG71" s="89">
        <f t="shared" si="6"/>
        <v>0</v>
      </c>
      <c r="AH71" s="89">
        <f t="shared" si="7"/>
        <v>0</v>
      </c>
      <c r="AI71" s="89">
        <f t="shared" si="8"/>
        <v>0</v>
      </c>
      <c r="AJ71">
        <f>+VALUE(A71)</f>
        <v>0</v>
      </c>
      <c r="AK71">
        <f>+B71</f>
        <v>0</v>
      </c>
      <c r="AL71">
        <f>+VALUE(C71)</f>
        <v>0</v>
      </c>
      <c r="AM71">
        <f>+VALUE(D71)</f>
        <v>0</v>
      </c>
      <c r="AN71">
        <f>+VALUE(E71)</f>
        <v>0</v>
      </c>
      <c r="AO71">
        <f>+VALUE(F71)</f>
        <v>0</v>
      </c>
      <c r="AP71">
        <f>+VALUE(G71)</f>
        <v>0</v>
      </c>
      <c r="AQ71">
        <f>+VALUE(H71)</f>
        <v>0</v>
      </c>
      <c r="AR71">
        <f>+VALUE(I71)</f>
        <v>0</v>
      </c>
      <c r="AS71">
        <f>+VALUE(J71)</f>
        <v>0</v>
      </c>
      <c r="BC71" t="str">
        <f>+IF(LEN(T71)&gt;0,T71,"")</f>
        <v/>
      </c>
      <c r="BD71">
        <f>+U71</f>
        <v>0</v>
      </c>
      <c r="BE71">
        <f>+V71</f>
        <v>0</v>
      </c>
      <c r="BF71">
        <f>+VALUE(W71)</f>
        <v>0</v>
      </c>
      <c r="BG71">
        <f>+VALUE(X71)</f>
        <v>0</v>
      </c>
      <c r="BH71">
        <f>+VALUE(Y71)</f>
        <v>0</v>
      </c>
      <c r="BI71">
        <f>+VALUE(Z71)</f>
        <v>0</v>
      </c>
    </row>
    <row r="72" spans="1:61">
      <c r="A72" s="85"/>
      <c r="B72" s="85"/>
      <c r="C72" s="85"/>
      <c r="D72" s="85"/>
      <c r="E72" s="85"/>
      <c r="F72" s="85"/>
      <c r="G72" s="85"/>
      <c r="H72" s="85"/>
      <c r="I72" s="85"/>
      <c r="J72" s="85"/>
      <c r="T72" s="85"/>
      <c r="U72" s="85"/>
      <c r="V72" s="85"/>
      <c r="W72" s="85"/>
      <c r="X72" s="85"/>
      <c r="Y72" s="85"/>
      <c r="Z72" s="85"/>
      <c r="AA72" s="85"/>
      <c r="AB72" s="85"/>
      <c r="AG72" s="89">
        <f t="shared" si="6"/>
        <v>0</v>
      </c>
      <c r="AH72" s="89">
        <f t="shared" si="7"/>
        <v>0</v>
      </c>
      <c r="AI72" s="89">
        <f t="shared" si="8"/>
        <v>0</v>
      </c>
      <c r="AJ72">
        <f>+VALUE(A72)</f>
        <v>0</v>
      </c>
      <c r="AK72">
        <f>+B72</f>
        <v>0</v>
      </c>
      <c r="AL72">
        <f>+VALUE(C72)</f>
        <v>0</v>
      </c>
      <c r="AM72">
        <f>+VALUE(D72)</f>
        <v>0</v>
      </c>
      <c r="AN72">
        <f>+VALUE(E72)</f>
        <v>0</v>
      </c>
      <c r="AO72">
        <f>+VALUE(F72)</f>
        <v>0</v>
      </c>
      <c r="AP72">
        <f>+VALUE(G72)</f>
        <v>0</v>
      </c>
      <c r="AQ72">
        <f>+VALUE(H72)</f>
        <v>0</v>
      </c>
      <c r="AR72">
        <f>+VALUE(I72)</f>
        <v>0</v>
      </c>
      <c r="AS72">
        <f>+VALUE(J72)</f>
        <v>0</v>
      </c>
      <c r="BC72" t="str">
        <f>+IF(LEN(T72)&gt;0,T72,"")</f>
        <v/>
      </c>
      <c r="BD72">
        <f>+U72</f>
        <v>0</v>
      </c>
      <c r="BE72">
        <f>+V72</f>
        <v>0</v>
      </c>
      <c r="BF72">
        <f>+VALUE(W72)</f>
        <v>0</v>
      </c>
      <c r="BG72">
        <f>+VALUE(X72)</f>
        <v>0</v>
      </c>
      <c r="BH72">
        <f>+VALUE(Y72)</f>
        <v>0</v>
      </c>
      <c r="BI72">
        <f>+VALUE(Z72)</f>
        <v>0</v>
      </c>
    </row>
    <row r="73" spans="1:61">
      <c r="A73" s="85"/>
      <c r="B73" s="85"/>
      <c r="C73" s="85"/>
      <c r="D73" s="85"/>
      <c r="E73" s="85"/>
      <c r="F73" s="85"/>
      <c r="G73" s="85"/>
      <c r="H73" s="85"/>
      <c r="I73" s="85"/>
      <c r="J73" s="85"/>
      <c r="T73" s="85"/>
      <c r="U73" s="85"/>
      <c r="V73" s="85"/>
      <c r="W73" s="85"/>
      <c r="X73" s="85"/>
      <c r="Y73" s="85"/>
      <c r="Z73" s="85"/>
      <c r="AA73" s="85"/>
      <c r="AB73" s="85"/>
      <c r="AG73" s="89">
        <f t="shared" si="6"/>
        <v>0</v>
      </c>
      <c r="AH73" s="89">
        <f t="shared" si="7"/>
        <v>0</v>
      </c>
      <c r="AI73" s="89">
        <f t="shared" si="8"/>
        <v>0</v>
      </c>
      <c r="AJ73">
        <f>+VALUE(A73)</f>
        <v>0</v>
      </c>
      <c r="AK73">
        <f>+B73</f>
        <v>0</v>
      </c>
      <c r="AL73">
        <f>+VALUE(C73)</f>
        <v>0</v>
      </c>
      <c r="AM73">
        <f>+VALUE(D73)</f>
        <v>0</v>
      </c>
      <c r="AN73">
        <f>+VALUE(E73)</f>
        <v>0</v>
      </c>
      <c r="AO73">
        <f>+VALUE(F73)</f>
        <v>0</v>
      </c>
      <c r="AP73">
        <f>+VALUE(G73)</f>
        <v>0</v>
      </c>
      <c r="AQ73">
        <f>+VALUE(H73)</f>
        <v>0</v>
      </c>
      <c r="AR73">
        <f>+VALUE(I73)</f>
        <v>0</v>
      </c>
      <c r="AS73">
        <f>+VALUE(J73)</f>
        <v>0</v>
      </c>
      <c r="BC73" t="str">
        <f>+IF(LEN(T73)&gt;0,T73,"")</f>
        <v/>
      </c>
      <c r="BD73">
        <f>+U73</f>
        <v>0</v>
      </c>
      <c r="BE73">
        <f>+V73</f>
        <v>0</v>
      </c>
      <c r="BF73">
        <f>+VALUE(W73)</f>
        <v>0</v>
      </c>
      <c r="BG73">
        <f>+VALUE(X73)</f>
        <v>0</v>
      </c>
      <c r="BH73">
        <f>+VALUE(Y73)</f>
        <v>0</v>
      </c>
      <c r="BI73">
        <f>+VALUE(Z73)</f>
        <v>0</v>
      </c>
    </row>
    <row r="74" spans="1:61">
      <c r="A74" s="85"/>
      <c r="B74" s="85"/>
      <c r="C74" s="85"/>
      <c r="D74" s="85"/>
      <c r="E74" s="85"/>
      <c r="F74" s="85"/>
      <c r="G74" s="85"/>
      <c r="H74" s="85"/>
      <c r="I74" s="85"/>
      <c r="J74" s="85"/>
      <c r="T74" s="85"/>
      <c r="U74" s="85"/>
      <c r="V74" s="85"/>
      <c r="W74" s="85"/>
      <c r="X74" s="85"/>
      <c r="Y74" s="85"/>
      <c r="Z74" s="85"/>
      <c r="AA74" s="85"/>
      <c r="AB74" s="85"/>
      <c r="AG74" s="89">
        <f t="shared" si="6"/>
        <v>0</v>
      </c>
      <c r="AH74" s="89">
        <f t="shared" si="7"/>
        <v>0</v>
      </c>
      <c r="AI74" s="89">
        <f t="shared" si="8"/>
        <v>0</v>
      </c>
      <c r="AJ74">
        <f>+VALUE(A74)</f>
        <v>0</v>
      </c>
      <c r="AK74">
        <f>+B74</f>
        <v>0</v>
      </c>
      <c r="AL74">
        <f>+VALUE(C74)</f>
        <v>0</v>
      </c>
      <c r="AM74">
        <f>+VALUE(D74)</f>
        <v>0</v>
      </c>
      <c r="AN74">
        <f>+VALUE(E74)</f>
        <v>0</v>
      </c>
      <c r="AO74">
        <f>+VALUE(F74)</f>
        <v>0</v>
      </c>
      <c r="AP74">
        <f>+VALUE(G74)</f>
        <v>0</v>
      </c>
      <c r="AQ74">
        <f>+VALUE(H74)</f>
        <v>0</v>
      </c>
      <c r="AR74">
        <f>+VALUE(I74)</f>
        <v>0</v>
      </c>
      <c r="AS74">
        <f>+VALUE(J74)</f>
        <v>0</v>
      </c>
      <c r="BC74" t="str">
        <f>+IF(LEN(T74)&gt;0,T74,"")</f>
        <v/>
      </c>
      <c r="BD74">
        <f>+U74</f>
        <v>0</v>
      </c>
      <c r="BE74">
        <f>+V74</f>
        <v>0</v>
      </c>
      <c r="BF74">
        <f>+VALUE(W74)</f>
        <v>0</v>
      </c>
      <c r="BG74">
        <f>+VALUE(X74)</f>
        <v>0</v>
      </c>
      <c r="BH74">
        <f>+VALUE(Y74)</f>
        <v>0</v>
      </c>
      <c r="BI74">
        <f>+VALUE(Z74)</f>
        <v>0</v>
      </c>
    </row>
    <row r="75" spans="1:61">
      <c r="A75" s="85"/>
      <c r="B75" s="85"/>
      <c r="C75" s="85"/>
      <c r="D75" s="85"/>
      <c r="E75" s="85"/>
      <c r="F75" s="85"/>
      <c r="G75" s="85"/>
      <c r="H75" s="85"/>
      <c r="I75" s="85"/>
      <c r="J75" s="85"/>
      <c r="T75" s="85"/>
      <c r="U75" s="85"/>
      <c r="V75" s="85"/>
      <c r="W75" s="85"/>
      <c r="X75" s="85"/>
      <c r="Y75" s="85"/>
      <c r="Z75" s="85"/>
      <c r="AA75" s="85"/>
      <c r="AB75" s="85"/>
      <c r="AG75" s="89">
        <f t="shared" si="6"/>
        <v>0</v>
      </c>
      <c r="AH75" s="89">
        <f t="shared" si="7"/>
        <v>0</v>
      </c>
      <c r="AI75" s="89">
        <f t="shared" si="8"/>
        <v>0</v>
      </c>
      <c r="AJ75">
        <f>+VALUE(A75)</f>
        <v>0</v>
      </c>
      <c r="AK75">
        <f>+B75</f>
        <v>0</v>
      </c>
      <c r="AL75">
        <f>+VALUE(C75)</f>
        <v>0</v>
      </c>
      <c r="AM75">
        <f>+VALUE(D75)</f>
        <v>0</v>
      </c>
      <c r="AN75">
        <f>+VALUE(E75)</f>
        <v>0</v>
      </c>
      <c r="AO75">
        <f>+VALUE(F75)</f>
        <v>0</v>
      </c>
      <c r="AP75">
        <f>+VALUE(G75)</f>
        <v>0</v>
      </c>
      <c r="AQ75">
        <f>+VALUE(H75)</f>
        <v>0</v>
      </c>
      <c r="AR75">
        <f>+VALUE(I75)</f>
        <v>0</v>
      </c>
      <c r="AS75">
        <f>+VALUE(J75)</f>
        <v>0</v>
      </c>
      <c r="BC75" t="str">
        <f>+IF(LEN(T75)&gt;0,T75,"")</f>
        <v/>
      </c>
      <c r="BD75">
        <f>+U75</f>
        <v>0</v>
      </c>
      <c r="BE75">
        <f>+V75</f>
        <v>0</v>
      </c>
      <c r="BF75">
        <f>+VALUE(W75)</f>
        <v>0</v>
      </c>
      <c r="BG75">
        <f>+VALUE(X75)</f>
        <v>0</v>
      </c>
      <c r="BH75">
        <f>+VALUE(Y75)</f>
        <v>0</v>
      </c>
      <c r="BI75">
        <f>+VALUE(Z75)</f>
        <v>0</v>
      </c>
    </row>
    <row r="76" spans="1:61">
      <c r="A76" s="85"/>
      <c r="B76" s="85"/>
      <c r="C76" s="85"/>
      <c r="D76" s="85"/>
      <c r="E76" s="85"/>
      <c r="F76" s="85"/>
      <c r="G76" s="85"/>
      <c r="H76" s="85"/>
      <c r="I76" s="85"/>
      <c r="J76" s="85"/>
      <c r="T76" s="85"/>
      <c r="U76" s="85"/>
      <c r="V76" s="85"/>
      <c r="W76" s="85"/>
      <c r="X76" s="85"/>
      <c r="Y76" s="85"/>
      <c r="Z76" s="85"/>
      <c r="AA76" s="85"/>
      <c r="AB76" s="85"/>
      <c r="AG76" s="89">
        <f t="shared" si="6"/>
        <v>0</v>
      </c>
      <c r="AH76" s="89">
        <f t="shared" si="7"/>
        <v>0</v>
      </c>
      <c r="AI76" s="89">
        <f t="shared" si="8"/>
        <v>0</v>
      </c>
      <c r="AJ76">
        <f>+VALUE(A76)</f>
        <v>0</v>
      </c>
      <c r="AK76">
        <f>+B76</f>
        <v>0</v>
      </c>
      <c r="AL76">
        <f>+VALUE(C76)</f>
        <v>0</v>
      </c>
      <c r="AM76">
        <f>+VALUE(D76)</f>
        <v>0</v>
      </c>
      <c r="AN76">
        <f>+VALUE(E76)</f>
        <v>0</v>
      </c>
      <c r="AO76">
        <f>+VALUE(F76)</f>
        <v>0</v>
      </c>
      <c r="AP76">
        <f>+VALUE(G76)</f>
        <v>0</v>
      </c>
      <c r="AQ76">
        <f>+VALUE(H76)</f>
        <v>0</v>
      </c>
      <c r="AR76">
        <f>+VALUE(I76)</f>
        <v>0</v>
      </c>
      <c r="AS76">
        <f>+VALUE(J76)</f>
        <v>0</v>
      </c>
      <c r="BC76" t="str">
        <f>+IF(LEN(T76)&gt;0,T76,"")</f>
        <v/>
      </c>
      <c r="BD76">
        <f>+U76</f>
        <v>0</v>
      </c>
      <c r="BE76">
        <f>+V76</f>
        <v>0</v>
      </c>
      <c r="BF76">
        <f>+VALUE(W76)</f>
        <v>0</v>
      </c>
      <c r="BG76">
        <f>+VALUE(X76)</f>
        <v>0</v>
      </c>
      <c r="BH76">
        <f>+VALUE(Y76)</f>
        <v>0</v>
      </c>
      <c r="BI76">
        <f>+VALUE(Z76)</f>
        <v>0</v>
      </c>
    </row>
    <row r="77" spans="1:61">
      <c r="A77" s="85"/>
      <c r="B77" s="85"/>
      <c r="C77" s="85"/>
      <c r="D77" s="85"/>
      <c r="E77" s="85"/>
      <c r="F77" s="85"/>
      <c r="G77" s="85"/>
      <c r="H77" s="85"/>
      <c r="I77" s="85"/>
      <c r="J77" s="85"/>
      <c r="T77" s="85"/>
      <c r="U77" s="85"/>
      <c r="V77" s="85"/>
      <c r="W77" s="85"/>
      <c r="X77" s="85"/>
      <c r="Y77" s="85"/>
      <c r="Z77" s="85"/>
      <c r="AA77" s="85"/>
      <c r="AB77" s="85"/>
      <c r="AG77" s="89">
        <f t="shared" si="6"/>
        <v>0</v>
      </c>
      <c r="AH77" s="89">
        <f t="shared" si="7"/>
        <v>0</v>
      </c>
      <c r="AI77" s="89">
        <f t="shared" si="8"/>
        <v>0</v>
      </c>
      <c r="AJ77">
        <f>+VALUE(A77)</f>
        <v>0</v>
      </c>
      <c r="AK77">
        <f>+B77</f>
        <v>0</v>
      </c>
      <c r="AL77">
        <f>+VALUE(C77)</f>
        <v>0</v>
      </c>
      <c r="AM77">
        <f>+VALUE(D77)</f>
        <v>0</v>
      </c>
      <c r="AN77">
        <f>+VALUE(E77)</f>
        <v>0</v>
      </c>
      <c r="AO77">
        <f>+VALUE(F77)</f>
        <v>0</v>
      </c>
      <c r="AP77">
        <f>+VALUE(G77)</f>
        <v>0</v>
      </c>
      <c r="AQ77">
        <f>+VALUE(H77)</f>
        <v>0</v>
      </c>
      <c r="AR77">
        <f>+VALUE(I77)</f>
        <v>0</v>
      </c>
      <c r="AS77">
        <f>+VALUE(J77)</f>
        <v>0</v>
      </c>
      <c r="BC77" t="str">
        <f>+IF(LEN(T77)&gt;0,T77,"")</f>
        <v/>
      </c>
      <c r="BD77">
        <f>+U77</f>
        <v>0</v>
      </c>
      <c r="BE77">
        <f>+V77</f>
        <v>0</v>
      </c>
      <c r="BF77">
        <f>+VALUE(W77)</f>
        <v>0</v>
      </c>
      <c r="BG77">
        <f>+VALUE(X77)</f>
        <v>0</v>
      </c>
      <c r="BH77">
        <f>+VALUE(Y77)</f>
        <v>0</v>
      </c>
      <c r="BI77">
        <f>+VALUE(Z77)</f>
        <v>0</v>
      </c>
    </row>
    <row r="78" spans="1:61">
      <c r="A78" s="85"/>
      <c r="B78" s="85"/>
      <c r="C78" s="85"/>
      <c r="D78" s="85"/>
      <c r="E78" s="85"/>
      <c r="F78" s="85"/>
      <c r="G78" s="85"/>
      <c r="H78" s="85"/>
      <c r="I78" s="85"/>
      <c r="J78" s="85"/>
      <c r="T78" s="85"/>
      <c r="U78" s="85"/>
      <c r="V78" s="85"/>
      <c r="W78" s="85"/>
      <c r="X78" s="85"/>
      <c r="Y78" s="85"/>
      <c r="Z78" s="85"/>
      <c r="AA78" s="85"/>
      <c r="AB78" s="85"/>
      <c r="AG78" s="89">
        <f t="shared" si="6"/>
        <v>0</v>
      </c>
      <c r="AH78" s="89">
        <f t="shared" si="7"/>
        <v>0</v>
      </c>
      <c r="AI78" s="89">
        <f t="shared" si="8"/>
        <v>0</v>
      </c>
      <c r="AJ78">
        <f>+VALUE(A78)</f>
        <v>0</v>
      </c>
      <c r="AK78">
        <f>+B78</f>
        <v>0</v>
      </c>
      <c r="AL78">
        <f>+VALUE(C78)</f>
        <v>0</v>
      </c>
      <c r="AM78">
        <f>+VALUE(D78)</f>
        <v>0</v>
      </c>
      <c r="AN78">
        <f>+VALUE(E78)</f>
        <v>0</v>
      </c>
      <c r="AO78">
        <f>+VALUE(F78)</f>
        <v>0</v>
      </c>
      <c r="AP78">
        <f>+VALUE(G78)</f>
        <v>0</v>
      </c>
      <c r="AQ78">
        <f>+VALUE(H78)</f>
        <v>0</v>
      </c>
      <c r="AR78">
        <f>+VALUE(I78)</f>
        <v>0</v>
      </c>
      <c r="AS78">
        <f>+VALUE(J78)</f>
        <v>0</v>
      </c>
      <c r="BC78" t="str">
        <f>+IF(LEN(T78)&gt;0,T78,"")</f>
        <v/>
      </c>
      <c r="BD78">
        <f>+U78</f>
        <v>0</v>
      </c>
      <c r="BE78">
        <f>+V78</f>
        <v>0</v>
      </c>
      <c r="BF78">
        <f>+VALUE(W78)</f>
        <v>0</v>
      </c>
      <c r="BG78">
        <f>+VALUE(X78)</f>
        <v>0</v>
      </c>
      <c r="BH78">
        <f>+VALUE(Y78)</f>
        <v>0</v>
      </c>
      <c r="BI78">
        <f>+VALUE(Z78)</f>
        <v>0</v>
      </c>
    </row>
    <row r="79" spans="1:61">
      <c r="A79" s="85"/>
      <c r="B79" s="85"/>
      <c r="C79" s="85"/>
      <c r="D79" s="85"/>
      <c r="E79" s="85"/>
      <c r="F79" s="85"/>
      <c r="G79" s="85"/>
      <c r="H79" s="85"/>
      <c r="I79" s="85"/>
      <c r="J79" s="85"/>
      <c r="T79" s="85"/>
      <c r="U79" s="85"/>
      <c r="V79" s="85"/>
      <c r="W79" s="85"/>
      <c r="X79" s="85"/>
      <c r="Y79" s="85"/>
      <c r="Z79" s="85"/>
      <c r="AA79" s="85"/>
      <c r="AB79" s="85"/>
      <c r="AG79" s="89">
        <f t="shared" si="6"/>
        <v>0</v>
      </c>
      <c r="AH79" s="89">
        <f t="shared" si="7"/>
        <v>0</v>
      </c>
      <c r="AI79" s="89">
        <f t="shared" si="8"/>
        <v>0</v>
      </c>
      <c r="AJ79">
        <f>+VALUE(A79)</f>
        <v>0</v>
      </c>
      <c r="AK79">
        <f>+B79</f>
        <v>0</v>
      </c>
      <c r="AL79">
        <f>+VALUE(C79)</f>
        <v>0</v>
      </c>
      <c r="AM79">
        <f>+VALUE(D79)</f>
        <v>0</v>
      </c>
      <c r="AN79">
        <f>+VALUE(E79)</f>
        <v>0</v>
      </c>
      <c r="AO79">
        <f>+VALUE(F79)</f>
        <v>0</v>
      </c>
      <c r="AP79">
        <f>+VALUE(G79)</f>
        <v>0</v>
      </c>
      <c r="AQ79">
        <f>+VALUE(H79)</f>
        <v>0</v>
      </c>
      <c r="AR79">
        <f>+VALUE(I79)</f>
        <v>0</v>
      </c>
      <c r="AS79">
        <f>+VALUE(J79)</f>
        <v>0</v>
      </c>
      <c r="BC79" t="str">
        <f>+IF(LEN(T79)&gt;0,T79,"")</f>
        <v/>
      </c>
      <c r="BD79">
        <f>+U79</f>
        <v>0</v>
      </c>
      <c r="BE79">
        <f>+V79</f>
        <v>0</v>
      </c>
      <c r="BF79">
        <f>+VALUE(W79)</f>
        <v>0</v>
      </c>
      <c r="BG79">
        <f>+VALUE(X79)</f>
        <v>0</v>
      </c>
      <c r="BH79">
        <f>+VALUE(Y79)</f>
        <v>0</v>
      </c>
      <c r="BI79">
        <f>+VALUE(Z79)</f>
        <v>0</v>
      </c>
    </row>
    <row r="80" spans="1:61">
      <c r="A80" s="85"/>
      <c r="B80" s="85"/>
      <c r="C80" s="85"/>
      <c r="D80" s="85"/>
      <c r="E80" s="85"/>
      <c r="F80" s="85"/>
      <c r="G80" s="85"/>
      <c r="H80" s="85"/>
      <c r="I80" s="85"/>
      <c r="J80" s="85"/>
      <c r="T80" s="85"/>
      <c r="U80" s="85"/>
      <c r="V80" s="85"/>
      <c r="W80" s="85"/>
      <c r="X80" s="85"/>
      <c r="Y80" s="85"/>
      <c r="Z80" s="85"/>
      <c r="AA80" s="85"/>
      <c r="AB80" s="85"/>
      <c r="AG80" s="89">
        <f t="shared" si="6"/>
        <v>0</v>
      </c>
      <c r="AH80" s="89">
        <f t="shared" si="7"/>
        <v>0</v>
      </c>
      <c r="AI80" s="89">
        <f t="shared" si="8"/>
        <v>0</v>
      </c>
      <c r="AJ80">
        <f>+VALUE(A80)</f>
        <v>0</v>
      </c>
      <c r="AK80">
        <f>+B80</f>
        <v>0</v>
      </c>
      <c r="AL80">
        <f>+VALUE(C80)</f>
        <v>0</v>
      </c>
      <c r="AM80">
        <f>+VALUE(D80)</f>
        <v>0</v>
      </c>
      <c r="AN80">
        <f>+VALUE(E80)</f>
        <v>0</v>
      </c>
      <c r="AO80">
        <f>+VALUE(F80)</f>
        <v>0</v>
      </c>
      <c r="AP80">
        <f>+VALUE(G80)</f>
        <v>0</v>
      </c>
      <c r="AQ80">
        <f>+VALUE(H80)</f>
        <v>0</v>
      </c>
      <c r="AR80">
        <f>+VALUE(I80)</f>
        <v>0</v>
      </c>
      <c r="AS80">
        <f>+VALUE(J80)</f>
        <v>0</v>
      </c>
      <c r="BC80" t="str">
        <f>+IF(LEN(T80)&gt;0,T80,"")</f>
        <v/>
      </c>
      <c r="BD80">
        <f>+U80</f>
        <v>0</v>
      </c>
      <c r="BE80">
        <f>+V80</f>
        <v>0</v>
      </c>
      <c r="BF80">
        <f>+VALUE(W80)</f>
        <v>0</v>
      </c>
      <c r="BG80">
        <f>+VALUE(X80)</f>
        <v>0</v>
      </c>
      <c r="BH80">
        <f>+VALUE(Y80)</f>
        <v>0</v>
      </c>
      <c r="BI80">
        <f>+VALUE(Z80)</f>
        <v>0</v>
      </c>
    </row>
    <row r="81" spans="1:61">
      <c r="A81" s="85"/>
      <c r="B81" s="85"/>
      <c r="C81" s="85"/>
      <c r="D81" s="85"/>
      <c r="E81" s="85"/>
      <c r="F81" s="85"/>
      <c r="G81" s="85"/>
      <c r="H81" s="85"/>
      <c r="I81" s="85"/>
      <c r="J81" s="85"/>
      <c r="T81" s="85"/>
      <c r="U81" s="85"/>
      <c r="V81" s="85"/>
      <c r="W81" s="85"/>
      <c r="X81" s="85"/>
      <c r="Y81" s="85"/>
      <c r="Z81" s="85"/>
      <c r="AA81" s="85"/>
      <c r="AB81" s="85"/>
      <c r="AG81" s="89">
        <f t="shared" si="6"/>
        <v>0</v>
      </c>
      <c r="AH81" s="89">
        <f t="shared" si="7"/>
        <v>0</v>
      </c>
      <c r="AI81" s="89">
        <f t="shared" si="8"/>
        <v>0</v>
      </c>
      <c r="AJ81">
        <f>+VALUE(A81)</f>
        <v>0</v>
      </c>
      <c r="AK81">
        <f>+B81</f>
        <v>0</v>
      </c>
      <c r="AL81">
        <f>+VALUE(C81)</f>
        <v>0</v>
      </c>
      <c r="AM81">
        <f>+VALUE(D81)</f>
        <v>0</v>
      </c>
      <c r="AN81">
        <f>+VALUE(E81)</f>
        <v>0</v>
      </c>
      <c r="AO81">
        <f>+VALUE(F81)</f>
        <v>0</v>
      </c>
      <c r="AP81">
        <f>+VALUE(G81)</f>
        <v>0</v>
      </c>
      <c r="AQ81">
        <f>+VALUE(H81)</f>
        <v>0</v>
      </c>
      <c r="AR81">
        <f>+VALUE(I81)</f>
        <v>0</v>
      </c>
      <c r="AS81">
        <f>+VALUE(J81)</f>
        <v>0</v>
      </c>
      <c r="BC81" t="str">
        <f>+IF(LEN(T81)&gt;0,T81,"")</f>
        <v/>
      </c>
      <c r="BD81">
        <f>+U81</f>
        <v>0</v>
      </c>
      <c r="BE81">
        <f>+V81</f>
        <v>0</v>
      </c>
      <c r="BF81">
        <f>+VALUE(W81)</f>
        <v>0</v>
      </c>
      <c r="BG81">
        <f>+VALUE(X81)</f>
        <v>0</v>
      </c>
      <c r="BH81">
        <f>+VALUE(Y81)</f>
        <v>0</v>
      </c>
      <c r="BI81">
        <f>+VALUE(Z81)</f>
        <v>0</v>
      </c>
    </row>
    <row r="82" spans="1:61">
      <c r="A82" s="85"/>
      <c r="B82" s="85"/>
      <c r="C82" s="85"/>
      <c r="D82" s="85"/>
      <c r="E82" s="85"/>
      <c r="F82" s="85"/>
      <c r="G82" s="85"/>
      <c r="H82" s="85"/>
      <c r="I82" s="85"/>
      <c r="J82" s="85"/>
      <c r="T82" s="85"/>
      <c r="U82" s="85"/>
      <c r="V82" s="85"/>
      <c r="W82" s="85"/>
      <c r="X82" s="85"/>
      <c r="Y82" s="85"/>
      <c r="Z82" s="85"/>
      <c r="AA82" s="85"/>
      <c r="AB82" s="85"/>
      <c r="AG82" s="89">
        <f t="shared" si="6"/>
        <v>0</v>
      </c>
      <c r="AH82" s="89">
        <f t="shared" si="7"/>
        <v>0</v>
      </c>
      <c r="AI82" s="89">
        <f t="shared" si="8"/>
        <v>0</v>
      </c>
      <c r="AJ82">
        <f>+VALUE(A82)</f>
        <v>0</v>
      </c>
      <c r="AK82">
        <f>+B82</f>
        <v>0</v>
      </c>
      <c r="AL82">
        <f>+VALUE(C82)</f>
        <v>0</v>
      </c>
      <c r="AM82">
        <f>+VALUE(D82)</f>
        <v>0</v>
      </c>
      <c r="AN82">
        <f>+VALUE(E82)</f>
        <v>0</v>
      </c>
      <c r="AO82">
        <f>+VALUE(F82)</f>
        <v>0</v>
      </c>
      <c r="AP82">
        <f>+VALUE(G82)</f>
        <v>0</v>
      </c>
      <c r="AQ82">
        <f>+VALUE(H82)</f>
        <v>0</v>
      </c>
      <c r="AR82">
        <f>+VALUE(I82)</f>
        <v>0</v>
      </c>
      <c r="AS82">
        <f>+VALUE(J82)</f>
        <v>0</v>
      </c>
      <c r="BC82" t="str">
        <f>+IF(LEN(T82)&gt;0,T82,"")</f>
        <v/>
      </c>
      <c r="BD82">
        <f>+U82</f>
        <v>0</v>
      </c>
      <c r="BE82">
        <f>+V82</f>
        <v>0</v>
      </c>
      <c r="BF82">
        <f>+VALUE(W82)</f>
        <v>0</v>
      </c>
      <c r="BG82">
        <f>+VALUE(X82)</f>
        <v>0</v>
      </c>
      <c r="BH82">
        <f>+VALUE(Y82)</f>
        <v>0</v>
      </c>
      <c r="BI82">
        <f>+VALUE(Z82)</f>
        <v>0</v>
      </c>
    </row>
    <row r="83" spans="1:61">
      <c r="A83" s="85"/>
      <c r="B83" s="85"/>
      <c r="C83" s="85"/>
      <c r="D83" s="85"/>
      <c r="E83" s="85"/>
      <c r="F83" s="85"/>
      <c r="G83" s="85"/>
      <c r="H83" s="85"/>
      <c r="I83" s="85"/>
      <c r="J83" s="85"/>
      <c r="T83" s="85"/>
      <c r="U83" s="85"/>
      <c r="V83" s="85"/>
      <c r="W83" s="85"/>
      <c r="X83" s="85"/>
      <c r="Y83" s="85"/>
      <c r="Z83" s="85"/>
      <c r="AA83" s="85"/>
      <c r="AB83" s="85"/>
      <c r="AG83" s="89">
        <f t="shared" si="6"/>
        <v>0</v>
      </c>
      <c r="AH83" s="89">
        <f t="shared" si="7"/>
        <v>0</v>
      </c>
      <c r="AI83" s="89">
        <f t="shared" si="8"/>
        <v>0</v>
      </c>
      <c r="AJ83">
        <f>+VALUE(A83)</f>
        <v>0</v>
      </c>
      <c r="AK83">
        <f>+B83</f>
        <v>0</v>
      </c>
      <c r="AL83">
        <f>+VALUE(C83)</f>
        <v>0</v>
      </c>
      <c r="AM83">
        <f>+VALUE(D83)</f>
        <v>0</v>
      </c>
      <c r="AN83">
        <f>+VALUE(E83)</f>
        <v>0</v>
      </c>
      <c r="AO83">
        <f>+VALUE(F83)</f>
        <v>0</v>
      </c>
      <c r="AP83">
        <f>+VALUE(G83)</f>
        <v>0</v>
      </c>
      <c r="AQ83">
        <f>+VALUE(H83)</f>
        <v>0</v>
      </c>
      <c r="AR83">
        <f>+VALUE(I83)</f>
        <v>0</v>
      </c>
      <c r="AS83">
        <f>+VALUE(J83)</f>
        <v>0</v>
      </c>
      <c r="BC83" t="str">
        <f>+IF(LEN(T83)&gt;0,T83,"")</f>
        <v/>
      </c>
      <c r="BD83">
        <f>+U83</f>
        <v>0</v>
      </c>
      <c r="BE83">
        <f>+V83</f>
        <v>0</v>
      </c>
      <c r="BF83">
        <f>+VALUE(W83)</f>
        <v>0</v>
      </c>
      <c r="BG83">
        <f>+VALUE(X83)</f>
        <v>0</v>
      </c>
      <c r="BH83">
        <f>+VALUE(Y83)</f>
        <v>0</v>
      </c>
      <c r="BI83">
        <f>+VALUE(Z83)</f>
        <v>0</v>
      </c>
    </row>
    <row r="84" spans="1:61">
      <c r="A84" s="85"/>
      <c r="B84" s="85"/>
      <c r="C84" s="85"/>
      <c r="D84" s="85"/>
      <c r="E84" s="85"/>
      <c r="F84" s="85"/>
      <c r="G84" s="85"/>
      <c r="H84" s="85"/>
      <c r="I84" s="85"/>
      <c r="J84" s="85"/>
      <c r="T84" s="85"/>
      <c r="U84" s="85"/>
      <c r="V84" s="85"/>
      <c r="W84" s="85"/>
      <c r="X84" s="85"/>
      <c r="Y84" s="85"/>
      <c r="Z84" s="85"/>
      <c r="AA84" s="85"/>
      <c r="AB84" s="85"/>
      <c r="AG84" s="89">
        <f t="shared" si="6"/>
        <v>0</v>
      </c>
      <c r="AH84" s="89">
        <f t="shared" si="7"/>
        <v>0</v>
      </c>
      <c r="AI84" s="89">
        <f t="shared" si="8"/>
        <v>0</v>
      </c>
      <c r="AJ84">
        <f>+VALUE(A84)</f>
        <v>0</v>
      </c>
      <c r="AK84">
        <f>+B84</f>
        <v>0</v>
      </c>
      <c r="AL84">
        <f>+VALUE(C84)</f>
        <v>0</v>
      </c>
      <c r="AM84">
        <f>+VALUE(D84)</f>
        <v>0</v>
      </c>
      <c r="AN84">
        <f>+VALUE(E84)</f>
        <v>0</v>
      </c>
      <c r="AO84">
        <f>+VALUE(F84)</f>
        <v>0</v>
      </c>
      <c r="AP84">
        <f>+VALUE(G84)</f>
        <v>0</v>
      </c>
      <c r="AQ84">
        <f>+VALUE(H84)</f>
        <v>0</v>
      </c>
      <c r="AR84">
        <f>+VALUE(I84)</f>
        <v>0</v>
      </c>
      <c r="AS84">
        <f>+VALUE(J84)</f>
        <v>0</v>
      </c>
      <c r="BC84" t="str">
        <f>+IF(LEN(T84)&gt;0,T84,"")</f>
        <v/>
      </c>
      <c r="BD84">
        <f>+U84</f>
        <v>0</v>
      </c>
      <c r="BE84">
        <f>+V84</f>
        <v>0</v>
      </c>
      <c r="BF84">
        <f>+VALUE(W84)</f>
        <v>0</v>
      </c>
      <c r="BG84">
        <f>+VALUE(X84)</f>
        <v>0</v>
      </c>
      <c r="BH84">
        <f>+VALUE(Y84)</f>
        <v>0</v>
      </c>
      <c r="BI84">
        <f>+VALUE(Z84)</f>
        <v>0</v>
      </c>
    </row>
    <row r="85" spans="1:61">
      <c r="A85" s="85"/>
      <c r="B85" s="85"/>
      <c r="C85" s="85"/>
      <c r="D85" s="85"/>
      <c r="E85" s="85"/>
      <c r="F85" s="85"/>
      <c r="G85" s="85"/>
      <c r="H85" s="85"/>
      <c r="I85" s="85"/>
      <c r="J85" s="85"/>
      <c r="T85" s="85"/>
      <c r="U85" s="85"/>
      <c r="V85" s="85"/>
      <c r="W85" s="85"/>
      <c r="X85" s="85"/>
      <c r="Y85" s="85"/>
      <c r="Z85" s="85"/>
      <c r="AA85" s="85"/>
      <c r="AB85" s="85"/>
      <c r="AG85" s="89">
        <f t="shared" si="6"/>
        <v>0</v>
      </c>
      <c r="AH85" s="89">
        <f t="shared" si="7"/>
        <v>0</v>
      </c>
      <c r="AI85" s="89">
        <f t="shared" si="8"/>
        <v>0</v>
      </c>
      <c r="AJ85">
        <f>+VALUE(A85)</f>
        <v>0</v>
      </c>
      <c r="AK85">
        <f>+B85</f>
        <v>0</v>
      </c>
      <c r="AL85">
        <f>+VALUE(C85)</f>
        <v>0</v>
      </c>
      <c r="AM85">
        <f>+VALUE(D85)</f>
        <v>0</v>
      </c>
      <c r="AN85">
        <f>+VALUE(E85)</f>
        <v>0</v>
      </c>
      <c r="AO85">
        <f>+VALUE(F85)</f>
        <v>0</v>
      </c>
      <c r="AP85">
        <f>+VALUE(G85)</f>
        <v>0</v>
      </c>
      <c r="AQ85">
        <f>+VALUE(H85)</f>
        <v>0</v>
      </c>
      <c r="AR85">
        <f>+VALUE(I85)</f>
        <v>0</v>
      </c>
      <c r="AS85">
        <f>+VALUE(J85)</f>
        <v>0</v>
      </c>
      <c r="BC85" t="str">
        <f>+IF(LEN(T85)&gt;0,T85,"")</f>
        <v/>
      </c>
      <c r="BD85">
        <f>+U85</f>
        <v>0</v>
      </c>
      <c r="BE85">
        <f>+V85</f>
        <v>0</v>
      </c>
      <c r="BF85">
        <f>+VALUE(W85)</f>
        <v>0</v>
      </c>
      <c r="BG85">
        <f>+VALUE(X85)</f>
        <v>0</v>
      </c>
      <c r="BH85">
        <f>+VALUE(Y85)</f>
        <v>0</v>
      </c>
      <c r="BI85">
        <f>+VALUE(Z85)</f>
        <v>0</v>
      </c>
    </row>
    <row r="86" spans="1:61">
      <c r="A86" s="85"/>
      <c r="B86" s="85"/>
      <c r="C86" s="85"/>
      <c r="D86" s="85"/>
      <c r="E86" s="85"/>
      <c r="F86" s="85"/>
      <c r="G86" s="85"/>
      <c r="H86" s="85"/>
      <c r="I86" s="85"/>
      <c r="J86" s="85"/>
      <c r="T86" s="85"/>
      <c r="U86" s="85"/>
      <c r="V86" s="85"/>
      <c r="W86" s="85"/>
      <c r="X86" s="85"/>
      <c r="Y86" s="85"/>
      <c r="Z86" s="85"/>
      <c r="AA86" s="85"/>
      <c r="AB86" s="85"/>
      <c r="AG86" s="89">
        <f t="shared" si="6"/>
        <v>0</v>
      </c>
      <c r="AH86" s="89">
        <f t="shared" si="7"/>
        <v>0</v>
      </c>
      <c r="AI86" s="89">
        <f t="shared" si="8"/>
        <v>0</v>
      </c>
      <c r="AJ86">
        <f>+VALUE(A86)</f>
        <v>0</v>
      </c>
      <c r="AK86">
        <f>+B86</f>
        <v>0</v>
      </c>
      <c r="AL86">
        <f>+VALUE(C86)</f>
        <v>0</v>
      </c>
      <c r="AM86">
        <f>+VALUE(D86)</f>
        <v>0</v>
      </c>
      <c r="AN86">
        <f>+VALUE(E86)</f>
        <v>0</v>
      </c>
      <c r="AO86">
        <f>+VALUE(F86)</f>
        <v>0</v>
      </c>
      <c r="AP86">
        <f>+VALUE(G86)</f>
        <v>0</v>
      </c>
      <c r="AQ86">
        <f>+VALUE(H86)</f>
        <v>0</v>
      </c>
      <c r="AR86">
        <f>+VALUE(I86)</f>
        <v>0</v>
      </c>
      <c r="AS86">
        <f>+VALUE(J86)</f>
        <v>0</v>
      </c>
      <c r="BC86" t="str">
        <f>+IF(LEN(T86)&gt;0,T86,"")</f>
        <v/>
      </c>
      <c r="BD86">
        <f>+U86</f>
        <v>0</v>
      </c>
      <c r="BE86">
        <f>+V86</f>
        <v>0</v>
      </c>
      <c r="BF86">
        <f>+VALUE(W86)</f>
        <v>0</v>
      </c>
      <c r="BG86">
        <f>+VALUE(X86)</f>
        <v>0</v>
      </c>
      <c r="BH86">
        <f>+VALUE(Y86)</f>
        <v>0</v>
      </c>
      <c r="BI86">
        <f>+VALUE(Z86)</f>
        <v>0</v>
      </c>
    </row>
    <row r="87" spans="1:61">
      <c r="A87" s="85"/>
      <c r="B87" s="85"/>
      <c r="C87" s="85"/>
      <c r="D87" s="85"/>
      <c r="E87" s="85"/>
      <c r="F87" s="85"/>
      <c r="G87" s="85"/>
      <c r="H87" s="85"/>
      <c r="I87" s="85"/>
      <c r="J87" s="85"/>
      <c r="T87" s="85"/>
      <c r="U87" s="85"/>
      <c r="V87" s="85"/>
      <c r="W87" s="85"/>
      <c r="X87" s="85"/>
      <c r="Y87" s="85"/>
      <c r="Z87" s="85"/>
      <c r="AA87" s="85"/>
      <c r="AB87" s="85"/>
      <c r="AG87" s="89">
        <f t="shared" si="6"/>
        <v>0</v>
      </c>
      <c r="AH87" s="89">
        <f t="shared" si="7"/>
        <v>0</v>
      </c>
      <c r="AI87" s="89">
        <f t="shared" si="8"/>
        <v>0</v>
      </c>
      <c r="AJ87">
        <f>+VALUE(A87)</f>
        <v>0</v>
      </c>
      <c r="AK87">
        <f>+B87</f>
        <v>0</v>
      </c>
      <c r="AL87">
        <f>+VALUE(C87)</f>
        <v>0</v>
      </c>
      <c r="AM87">
        <f>+VALUE(D87)</f>
        <v>0</v>
      </c>
      <c r="AN87">
        <f>+VALUE(E87)</f>
        <v>0</v>
      </c>
      <c r="AO87">
        <f>+VALUE(F87)</f>
        <v>0</v>
      </c>
      <c r="AP87">
        <f>+VALUE(G87)</f>
        <v>0</v>
      </c>
      <c r="AQ87">
        <f>+VALUE(H87)</f>
        <v>0</v>
      </c>
      <c r="AR87">
        <f>+VALUE(I87)</f>
        <v>0</v>
      </c>
      <c r="AS87">
        <f>+VALUE(J87)</f>
        <v>0</v>
      </c>
      <c r="BC87" t="str">
        <f>+IF(LEN(T87)&gt;0,T87,"")</f>
        <v/>
      </c>
      <c r="BD87">
        <f>+U87</f>
        <v>0</v>
      </c>
      <c r="BE87">
        <f>+V87</f>
        <v>0</v>
      </c>
      <c r="BF87">
        <f>+VALUE(W87)</f>
        <v>0</v>
      </c>
      <c r="BG87">
        <f>+VALUE(X87)</f>
        <v>0</v>
      </c>
      <c r="BH87">
        <f>+VALUE(Y87)</f>
        <v>0</v>
      </c>
      <c r="BI87">
        <f>+VALUE(Z87)</f>
        <v>0</v>
      </c>
    </row>
    <row r="88" spans="1:61">
      <c r="A88" s="85"/>
      <c r="B88" s="85"/>
      <c r="C88" s="85"/>
      <c r="D88" s="85"/>
      <c r="E88" s="85"/>
      <c r="F88" s="85"/>
      <c r="G88" s="85"/>
      <c r="H88" s="85"/>
      <c r="I88" s="85"/>
      <c r="J88" s="85"/>
      <c r="T88" s="85"/>
      <c r="U88" s="85"/>
      <c r="V88" s="85"/>
      <c r="W88" s="85"/>
      <c r="X88" s="85"/>
      <c r="Y88" s="85"/>
      <c r="Z88" s="85"/>
      <c r="AA88" s="85"/>
      <c r="AB88" s="85"/>
      <c r="AG88" s="89">
        <f t="shared" si="6"/>
        <v>0</v>
      </c>
      <c r="AH88" s="89">
        <f t="shared" si="7"/>
        <v>0</v>
      </c>
      <c r="AI88" s="89">
        <f t="shared" si="8"/>
        <v>0</v>
      </c>
      <c r="AJ88">
        <f>+VALUE(A88)</f>
        <v>0</v>
      </c>
      <c r="AK88">
        <f>+B88</f>
        <v>0</v>
      </c>
      <c r="AL88">
        <f>+VALUE(C88)</f>
        <v>0</v>
      </c>
      <c r="AM88">
        <f>+VALUE(D88)</f>
        <v>0</v>
      </c>
      <c r="AN88">
        <f>+VALUE(E88)</f>
        <v>0</v>
      </c>
      <c r="AO88">
        <f>+VALUE(F88)</f>
        <v>0</v>
      </c>
      <c r="AP88">
        <f>+VALUE(G88)</f>
        <v>0</v>
      </c>
      <c r="AQ88">
        <f>+VALUE(H88)</f>
        <v>0</v>
      </c>
      <c r="AR88">
        <f>+VALUE(I88)</f>
        <v>0</v>
      </c>
      <c r="AS88">
        <f>+VALUE(J88)</f>
        <v>0</v>
      </c>
      <c r="BC88" t="str">
        <f>+IF(LEN(T88)&gt;0,T88,"")</f>
        <v/>
      </c>
      <c r="BD88">
        <f>+U88</f>
        <v>0</v>
      </c>
      <c r="BE88">
        <f>+V88</f>
        <v>0</v>
      </c>
      <c r="BF88">
        <f>+VALUE(W88)</f>
        <v>0</v>
      </c>
      <c r="BG88">
        <f>+VALUE(X88)</f>
        <v>0</v>
      </c>
      <c r="BH88">
        <f>+VALUE(Y88)</f>
        <v>0</v>
      </c>
      <c r="BI88">
        <f>+VALUE(Z88)</f>
        <v>0</v>
      </c>
    </row>
    <row r="89" spans="1:61">
      <c r="A89" s="85"/>
      <c r="B89" s="85"/>
      <c r="C89" s="85"/>
      <c r="D89" s="85"/>
      <c r="E89" s="85"/>
      <c r="F89" s="85"/>
      <c r="G89" s="85"/>
      <c r="H89" s="85"/>
      <c r="I89" s="85"/>
      <c r="J89" s="85"/>
      <c r="T89" s="85"/>
      <c r="U89" s="85"/>
      <c r="V89" s="85"/>
      <c r="W89" s="85"/>
      <c r="X89" s="85"/>
      <c r="Y89" s="85"/>
      <c r="Z89" s="85"/>
      <c r="AA89" s="85"/>
      <c r="AB89" s="85"/>
      <c r="AG89" s="89">
        <f t="shared" si="6"/>
        <v>0</v>
      </c>
      <c r="AH89" s="89">
        <f t="shared" si="7"/>
        <v>0</v>
      </c>
      <c r="AI89" s="89">
        <f t="shared" si="8"/>
        <v>0</v>
      </c>
      <c r="AJ89">
        <f>+VALUE(A89)</f>
        <v>0</v>
      </c>
      <c r="AK89">
        <f>+B89</f>
        <v>0</v>
      </c>
      <c r="AL89">
        <f>+VALUE(C89)</f>
        <v>0</v>
      </c>
      <c r="AM89">
        <f>+VALUE(D89)</f>
        <v>0</v>
      </c>
      <c r="AN89">
        <f>+VALUE(E89)</f>
        <v>0</v>
      </c>
      <c r="AO89">
        <f>+VALUE(F89)</f>
        <v>0</v>
      </c>
      <c r="AP89">
        <f>+VALUE(G89)</f>
        <v>0</v>
      </c>
      <c r="AQ89">
        <f>+VALUE(H89)</f>
        <v>0</v>
      </c>
      <c r="AR89">
        <f>+VALUE(I89)</f>
        <v>0</v>
      </c>
      <c r="AS89">
        <f>+VALUE(J89)</f>
        <v>0</v>
      </c>
      <c r="BC89" t="str">
        <f>+IF(LEN(T89)&gt;0,T89,"")</f>
        <v/>
      </c>
      <c r="BD89">
        <f>+U89</f>
        <v>0</v>
      </c>
      <c r="BE89">
        <f>+V89</f>
        <v>0</v>
      </c>
      <c r="BF89">
        <f>+VALUE(W89)</f>
        <v>0</v>
      </c>
      <c r="BG89">
        <f>+VALUE(X89)</f>
        <v>0</v>
      </c>
      <c r="BH89">
        <f>+VALUE(Y89)</f>
        <v>0</v>
      </c>
      <c r="BI89">
        <f>+VALUE(Z89)</f>
        <v>0</v>
      </c>
    </row>
    <row r="90" spans="1:61">
      <c r="A90" s="85"/>
      <c r="B90" s="85"/>
      <c r="C90" s="85"/>
      <c r="D90" s="85"/>
      <c r="E90" s="85"/>
      <c r="F90" s="85"/>
      <c r="G90" s="85"/>
      <c r="H90" s="85"/>
      <c r="I90" s="85"/>
      <c r="J90" s="85"/>
      <c r="T90" s="85"/>
      <c r="U90" s="85"/>
      <c r="V90" s="85"/>
      <c r="W90" s="85"/>
      <c r="X90" s="85"/>
      <c r="Y90" s="85"/>
      <c r="Z90" s="85"/>
      <c r="AA90" s="85"/>
      <c r="AB90" s="85"/>
      <c r="AG90" s="89">
        <f t="shared" si="6"/>
        <v>0</v>
      </c>
      <c r="AH90" s="89">
        <f t="shared" si="7"/>
        <v>0</v>
      </c>
      <c r="AI90" s="89">
        <f t="shared" si="8"/>
        <v>0</v>
      </c>
      <c r="AJ90">
        <f>+VALUE(A90)</f>
        <v>0</v>
      </c>
      <c r="AK90">
        <f>+B90</f>
        <v>0</v>
      </c>
      <c r="AL90">
        <f>+VALUE(C90)</f>
        <v>0</v>
      </c>
      <c r="AM90">
        <f>+VALUE(D90)</f>
        <v>0</v>
      </c>
      <c r="AN90">
        <f>+VALUE(E90)</f>
        <v>0</v>
      </c>
      <c r="AO90">
        <f>+VALUE(F90)</f>
        <v>0</v>
      </c>
      <c r="AP90">
        <f>+VALUE(G90)</f>
        <v>0</v>
      </c>
      <c r="AQ90">
        <f>+VALUE(H90)</f>
        <v>0</v>
      </c>
      <c r="AR90">
        <f>+VALUE(I90)</f>
        <v>0</v>
      </c>
      <c r="AS90">
        <f>+VALUE(J90)</f>
        <v>0</v>
      </c>
      <c r="BC90" t="str">
        <f>+IF(LEN(T90)&gt;0,T90,"")</f>
        <v/>
      </c>
      <c r="BD90">
        <f>+U90</f>
        <v>0</v>
      </c>
      <c r="BE90">
        <f>+V90</f>
        <v>0</v>
      </c>
      <c r="BF90">
        <f>+VALUE(W90)</f>
        <v>0</v>
      </c>
      <c r="BG90">
        <f>+VALUE(X90)</f>
        <v>0</v>
      </c>
      <c r="BH90">
        <f>+VALUE(Y90)</f>
        <v>0</v>
      </c>
      <c r="BI90">
        <f>+VALUE(Z90)</f>
        <v>0</v>
      </c>
    </row>
    <row r="91" spans="1:61">
      <c r="A91" s="85"/>
      <c r="B91" s="85"/>
      <c r="C91" s="85"/>
      <c r="D91" s="85"/>
      <c r="E91" s="85"/>
      <c r="F91" s="85"/>
      <c r="G91" s="85"/>
      <c r="H91" s="85"/>
      <c r="I91" s="85"/>
      <c r="J91" s="85"/>
      <c r="T91" s="85"/>
      <c r="U91" s="85"/>
      <c r="V91" s="85"/>
      <c r="W91" s="85"/>
      <c r="X91" s="85"/>
      <c r="Y91" s="85"/>
      <c r="Z91" s="85"/>
      <c r="AA91" s="85"/>
      <c r="AB91" s="85"/>
      <c r="AG91" s="89">
        <f t="shared" si="6"/>
        <v>0</v>
      </c>
      <c r="AH91" s="89">
        <f t="shared" si="7"/>
        <v>0</v>
      </c>
      <c r="AI91" s="89">
        <f t="shared" si="8"/>
        <v>0</v>
      </c>
      <c r="AJ91">
        <f>+VALUE(A91)</f>
        <v>0</v>
      </c>
      <c r="AK91">
        <f>+B91</f>
        <v>0</v>
      </c>
      <c r="AL91">
        <f>+VALUE(C91)</f>
        <v>0</v>
      </c>
      <c r="AM91">
        <f>+VALUE(D91)</f>
        <v>0</v>
      </c>
      <c r="AN91">
        <f>+VALUE(E91)</f>
        <v>0</v>
      </c>
      <c r="AO91">
        <f>+VALUE(F91)</f>
        <v>0</v>
      </c>
      <c r="AP91">
        <f>+VALUE(G91)</f>
        <v>0</v>
      </c>
      <c r="AQ91">
        <f>+VALUE(H91)</f>
        <v>0</v>
      </c>
      <c r="AR91">
        <f>+VALUE(I91)</f>
        <v>0</v>
      </c>
      <c r="AS91">
        <f>+VALUE(J91)</f>
        <v>0</v>
      </c>
      <c r="BC91" t="str">
        <f>+IF(LEN(T91)&gt;0,T91,"")</f>
        <v/>
      </c>
      <c r="BD91">
        <f>+U91</f>
        <v>0</v>
      </c>
      <c r="BE91">
        <f>+V91</f>
        <v>0</v>
      </c>
      <c r="BF91">
        <f>+VALUE(W91)</f>
        <v>0</v>
      </c>
      <c r="BG91">
        <f>+VALUE(X91)</f>
        <v>0</v>
      </c>
      <c r="BH91">
        <f>+VALUE(Y91)</f>
        <v>0</v>
      </c>
      <c r="BI91">
        <f>+VALUE(Z91)</f>
        <v>0</v>
      </c>
    </row>
    <row r="92" spans="1:61">
      <c r="A92" s="85"/>
      <c r="B92" s="85"/>
      <c r="C92" s="85"/>
      <c r="D92" s="85"/>
      <c r="E92" s="85"/>
      <c r="F92" s="85"/>
      <c r="G92" s="85"/>
      <c r="H92" s="85"/>
      <c r="I92" s="85"/>
      <c r="J92" s="85"/>
      <c r="T92" s="85"/>
      <c r="U92" s="85"/>
      <c r="V92" s="85"/>
      <c r="W92" s="85"/>
      <c r="X92" s="85"/>
      <c r="Y92" s="85"/>
      <c r="Z92" s="85"/>
      <c r="AA92" s="85"/>
      <c r="AB92" s="85"/>
      <c r="AG92" s="89">
        <f t="shared" si="6"/>
        <v>0</v>
      </c>
      <c r="AH92" s="89">
        <f t="shared" si="7"/>
        <v>0</v>
      </c>
      <c r="AI92" s="89">
        <f t="shared" si="8"/>
        <v>0</v>
      </c>
      <c r="AJ92">
        <f>+VALUE(A92)</f>
        <v>0</v>
      </c>
      <c r="AK92">
        <f>+B92</f>
        <v>0</v>
      </c>
      <c r="AL92">
        <f>+VALUE(C92)</f>
        <v>0</v>
      </c>
      <c r="AM92">
        <f>+VALUE(D92)</f>
        <v>0</v>
      </c>
      <c r="AN92">
        <f>+VALUE(E92)</f>
        <v>0</v>
      </c>
      <c r="AO92">
        <f>+VALUE(F92)</f>
        <v>0</v>
      </c>
      <c r="AP92">
        <f>+VALUE(G92)</f>
        <v>0</v>
      </c>
      <c r="AQ92">
        <f>+VALUE(H92)</f>
        <v>0</v>
      </c>
      <c r="AR92">
        <f>+VALUE(I92)</f>
        <v>0</v>
      </c>
      <c r="AS92">
        <f>+VALUE(J92)</f>
        <v>0</v>
      </c>
      <c r="BC92" t="str">
        <f>+IF(LEN(T92)&gt;0,T92,"")</f>
        <v/>
      </c>
      <c r="BD92">
        <f>+U92</f>
        <v>0</v>
      </c>
      <c r="BE92">
        <f>+V92</f>
        <v>0</v>
      </c>
      <c r="BF92">
        <f>+VALUE(W92)</f>
        <v>0</v>
      </c>
      <c r="BG92">
        <f>+VALUE(X92)</f>
        <v>0</v>
      </c>
      <c r="BH92">
        <f>+VALUE(Y92)</f>
        <v>0</v>
      </c>
      <c r="BI92">
        <f>+VALUE(Z92)</f>
        <v>0</v>
      </c>
    </row>
    <row r="93" spans="1:61">
      <c r="A93" s="85"/>
      <c r="B93" s="85"/>
      <c r="C93" s="85"/>
      <c r="D93" s="85"/>
      <c r="E93" s="85"/>
      <c r="F93" s="85"/>
      <c r="G93" s="85"/>
      <c r="H93" s="85"/>
      <c r="I93" s="85"/>
      <c r="J93" s="85"/>
      <c r="T93" s="85"/>
      <c r="U93" s="85"/>
      <c r="V93" s="85"/>
      <c r="W93" s="85"/>
      <c r="X93" s="85"/>
      <c r="Y93" s="85"/>
      <c r="Z93" s="85"/>
      <c r="AA93" s="85"/>
      <c r="AB93" s="85"/>
      <c r="AG93" s="89">
        <f t="shared" si="6"/>
        <v>0</v>
      </c>
      <c r="AH93" s="89">
        <f t="shared" si="7"/>
        <v>0</v>
      </c>
      <c r="AI93" s="89">
        <f t="shared" si="8"/>
        <v>0</v>
      </c>
      <c r="AJ93">
        <f>+VALUE(A93)</f>
        <v>0</v>
      </c>
      <c r="AK93">
        <f>+B93</f>
        <v>0</v>
      </c>
      <c r="AL93">
        <f>+VALUE(C93)</f>
        <v>0</v>
      </c>
      <c r="AM93">
        <f>+VALUE(D93)</f>
        <v>0</v>
      </c>
      <c r="AN93">
        <f>+VALUE(E93)</f>
        <v>0</v>
      </c>
      <c r="AO93">
        <f>+VALUE(F93)</f>
        <v>0</v>
      </c>
      <c r="AP93">
        <f>+VALUE(G93)</f>
        <v>0</v>
      </c>
      <c r="AQ93">
        <f>+VALUE(H93)</f>
        <v>0</v>
      </c>
      <c r="AR93">
        <f>+VALUE(I93)</f>
        <v>0</v>
      </c>
      <c r="AS93">
        <f>+VALUE(J93)</f>
        <v>0</v>
      </c>
      <c r="BC93" t="str">
        <f>+IF(LEN(T93)&gt;0,T93,"")</f>
        <v/>
      </c>
      <c r="BD93">
        <f>+U93</f>
        <v>0</v>
      </c>
      <c r="BE93">
        <f>+V93</f>
        <v>0</v>
      </c>
      <c r="BF93">
        <f>+VALUE(W93)</f>
        <v>0</v>
      </c>
      <c r="BG93">
        <f>+VALUE(X93)</f>
        <v>0</v>
      </c>
      <c r="BH93">
        <f>+VALUE(Y93)</f>
        <v>0</v>
      </c>
      <c r="BI93">
        <f>+VALUE(Z93)</f>
        <v>0</v>
      </c>
    </row>
    <row r="94" spans="1:61">
      <c r="A94" s="85"/>
      <c r="B94" s="85"/>
      <c r="C94" s="85"/>
      <c r="D94" s="85"/>
      <c r="E94" s="85"/>
      <c r="F94" s="85"/>
      <c r="G94" s="85"/>
      <c r="H94" s="85"/>
      <c r="I94" s="85"/>
      <c r="J94" s="85"/>
      <c r="T94" s="85"/>
      <c r="U94" s="85"/>
      <c r="V94" s="85"/>
      <c r="W94" s="85"/>
      <c r="X94" s="85"/>
      <c r="Y94" s="85"/>
      <c r="Z94" s="85"/>
      <c r="AA94" s="85"/>
      <c r="AB94" s="85"/>
      <c r="AG94" s="89">
        <f t="shared" si="6"/>
        <v>0</v>
      </c>
      <c r="AH94" s="89">
        <f t="shared" si="7"/>
        <v>0</v>
      </c>
      <c r="AI94" s="89">
        <f t="shared" si="8"/>
        <v>0</v>
      </c>
      <c r="AJ94">
        <f>+VALUE(A94)</f>
        <v>0</v>
      </c>
      <c r="AK94">
        <f>+B94</f>
        <v>0</v>
      </c>
      <c r="AL94">
        <f>+VALUE(C94)</f>
        <v>0</v>
      </c>
      <c r="AM94">
        <f>+VALUE(D94)</f>
        <v>0</v>
      </c>
      <c r="AN94">
        <f>+VALUE(E94)</f>
        <v>0</v>
      </c>
      <c r="AO94">
        <f>+VALUE(F94)</f>
        <v>0</v>
      </c>
      <c r="AP94">
        <f>+VALUE(G94)</f>
        <v>0</v>
      </c>
      <c r="AQ94">
        <f>+VALUE(H94)</f>
        <v>0</v>
      </c>
      <c r="AR94">
        <f>+VALUE(I94)</f>
        <v>0</v>
      </c>
      <c r="AS94">
        <f>+VALUE(J94)</f>
        <v>0</v>
      </c>
      <c r="BC94" t="str">
        <f>+IF(LEN(T94)&gt;0,T94,"")</f>
        <v/>
      </c>
      <c r="BD94">
        <f>+U94</f>
        <v>0</v>
      </c>
      <c r="BE94">
        <f>+V94</f>
        <v>0</v>
      </c>
      <c r="BF94">
        <f>+VALUE(W94)</f>
        <v>0</v>
      </c>
      <c r="BG94">
        <f>+VALUE(X94)</f>
        <v>0</v>
      </c>
      <c r="BH94">
        <f>+VALUE(Y94)</f>
        <v>0</v>
      </c>
      <c r="BI94">
        <f>+VALUE(Z94)</f>
        <v>0</v>
      </c>
    </row>
    <row r="95" spans="1:61">
      <c r="A95" s="85"/>
      <c r="B95" s="85"/>
      <c r="C95" s="85"/>
      <c r="D95" s="85"/>
      <c r="E95" s="85"/>
      <c r="F95" s="85"/>
      <c r="G95" s="85"/>
      <c r="H95" s="85"/>
      <c r="I95" s="85"/>
      <c r="J95" s="85"/>
      <c r="T95" s="85"/>
      <c r="U95" s="85"/>
      <c r="V95" s="85"/>
      <c r="W95" s="85"/>
      <c r="X95" s="85"/>
      <c r="Y95" s="85"/>
      <c r="Z95" s="85"/>
      <c r="AA95" s="85"/>
      <c r="AB95" s="85"/>
      <c r="AG95" s="89">
        <f t="shared" si="6"/>
        <v>0</v>
      </c>
      <c r="AH95" s="89">
        <f t="shared" si="7"/>
        <v>0</v>
      </c>
      <c r="AI95" s="89">
        <f t="shared" si="8"/>
        <v>0</v>
      </c>
      <c r="AJ95">
        <f>+VALUE(A95)</f>
        <v>0</v>
      </c>
      <c r="AK95">
        <f>+B95</f>
        <v>0</v>
      </c>
      <c r="AL95">
        <f>+VALUE(C95)</f>
        <v>0</v>
      </c>
      <c r="AM95">
        <f>+VALUE(D95)</f>
        <v>0</v>
      </c>
      <c r="AN95">
        <f>+VALUE(E95)</f>
        <v>0</v>
      </c>
      <c r="AO95">
        <f>+VALUE(F95)</f>
        <v>0</v>
      </c>
      <c r="AP95">
        <f>+VALUE(G95)</f>
        <v>0</v>
      </c>
      <c r="AQ95">
        <f>+VALUE(H95)</f>
        <v>0</v>
      </c>
      <c r="AR95">
        <f>+VALUE(I95)</f>
        <v>0</v>
      </c>
      <c r="AS95">
        <f>+VALUE(J95)</f>
        <v>0</v>
      </c>
      <c r="BC95" t="str">
        <f>+IF(LEN(T95)&gt;0,T95,"")</f>
        <v/>
      </c>
      <c r="BD95">
        <f>+U95</f>
        <v>0</v>
      </c>
      <c r="BE95">
        <f>+V95</f>
        <v>0</v>
      </c>
      <c r="BF95">
        <f>+VALUE(W95)</f>
        <v>0</v>
      </c>
      <c r="BG95">
        <f>+VALUE(X95)</f>
        <v>0</v>
      </c>
      <c r="BH95">
        <f>+VALUE(Y95)</f>
        <v>0</v>
      </c>
      <c r="BI95">
        <f>+VALUE(Z95)</f>
        <v>0</v>
      </c>
    </row>
    <row r="96" spans="1:61">
      <c r="A96" s="85"/>
      <c r="B96" s="85"/>
      <c r="C96" s="85"/>
      <c r="D96" s="85"/>
      <c r="E96" s="85"/>
      <c r="F96" s="85"/>
      <c r="G96" s="85"/>
      <c r="H96" s="85"/>
      <c r="I96" s="85"/>
      <c r="J96" s="85"/>
      <c r="T96" s="85"/>
      <c r="U96" s="85"/>
      <c r="V96" s="85"/>
      <c r="W96" s="85"/>
      <c r="X96" s="85"/>
      <c r="Y96" s="85"/>
      <c r="Z96" s="85"/>
      <c r="AA96" s="85"/>
      <c r="AB96" s="85"/>
      <c r="AG96" s="89">
        <f t="shared" si="6"/>
        <v>0</v>
      </c>
      <c r="AH96" s="89">
        <f t="shared" si="7"/>
        <v>0</v>
      </c>
      <c r="AI96" s="89">
        <f t="shared" si="8"/>
        <v>0</v>
      </c>
      <c r="AJ96">
        <f>+VALUE(A96)</f>
        <v>0</v>
      </c>
      <c r="AK96">
        <f>+B96</f>
        <v>0</v>
      </c>
      <c r="AL96">
        <f>+VALUE(C96)</f>
        <v>0</v>
      </c>
      <c r="AM96">
        <f>+VALUE(D96)</f>
        <v>0</v>
      </c>
      <c r="AN96">
        <f>+VALUE(E96)</f>
        <v>0</v>
      </c>
      <c r="AO96">
        <f>+VALUE(F96)</f>
        <v>0</v>
      </c>
      <c r="AP96">
        <f>+VALUE(G96)</f>
        <v>0</v>
      </c>
      <c r="AQ96">
        <f>+VALUE(H96)</f>
        <v>0</v>
      </c>
      <c r="AR96">
        <f>+VALUE(I96)</f>
        <v>0</v>
      </c>
      <c r="AS96">
        <f>+VALUE(J96)</f>
        <v>0</v>
      </c>
      <c r="BC96" t="str">
        <f>+IF(LEN(T96)&gt;0,T96,"")</f>
        <v/>
      </c>
      <c r="BD96">
        <f>+U96</f>
        <v>0</v>
      </c>
      <c r="BE96">
        <f>+V96</f>
        <v>0</v>
      </c>
      <c r="BF96">
        <f>+VALUE(W96)</f>
        <v>0</v>
      </c>
      <c r="BG96">
        <f>+VALUE(X96)</f>
        <v>0</v>
      </c>
      <c r="BH96">
        <f>+VALUE(Y96)</f>
        <v>0</v>
      </c>
      <c r="BI96">
        <f>+VALUE(Z96)</f>
        <v>0</v>
      </c>
    </row>
    <row r="97" spans="1:61">
      <c r="A97" s="85"/>
      <c r="B97" s="85"/>
      <c r="C97" s="85"/>
      <c r="D97" s="85"/>
      <c r="E97" s="85"/>
      <c r="F97" s="85"/>
      <c r="G97" s="85"/>
      <c r="H97" s="85"/>
      <c r="I97" s="85"/>
      <c r="J97" s="85"/>
      <c r="T97" s="85"/>
      <c r="U97" s="85"/>
      <c r="V97" s="85"/>
      <c r="W97" s="85"/>
      <c r="X97" s="85"/>
      <c r="Y97" s="85"/>
      <c r="Z97" s="85"/>
      <c r="AA97" s="85"/>
      <c r="AB97" s="85"/>
      <c r="AG97" s="89">
        <f t="shared" si="6"/>
        <v>0</v>
      </c>
      <c r="AH97" s="89">
        <f t="shared" si="7"/>
        <v>0</v>
      </c>
      <c r="AI97" s="89">
        <f t="shared" si="8"/>
        <v>0</v>
      </c>
      <c r="AJ97">
        <f>+VALUE(A97)</f>
        <v>0</v>
      </c>
      <c r="AK97">
        <f>+B97</f>
        <v>0</v>
      </c>
      <c r="AL97">
        <f>+VALUE(C97)</f>
        <v>0</v>
      </c>
      <c r="AM97">
        <f>+VALUE(D97)</f>
        <v>0</v>
      </c>
      <c r="AN97">
        <f>+VALUE(E97)</f>
        <v>0</v>
      </c>
      <c r="AO97">
        <f>+VALUE(F97)</f>
        <v>0</v>
      </c>
      <c r="AP97">
        <f>+VALUE(G97)</f>
        <v>0</v>
      </c>
      <c r="AQ97">
        <f>+VALUE(H97)</f>
        <v>0</v>
      </c>
      <c r="AR97">
        <f>+VALUE(I97)</f>
        <v>0</v>
      </c>
      <c r="AS97">
        <f>+VALUE(J97)</f>
        <v>0</v>
      </c>
      <c r="BC97" t="str">
        <f>+IF(LEN(T97)&gt;0,T97,"")</f>
        <v/>
      </c>
      <c r="BD97">
        <f>+U97</f>
        <v>0</v>
      </c>
      <c r="BE97">
        <f>+V97</f>
        <v>0</v>
      </c>
      <c r="BF97">
        <f>+VALUE(W97)</f>
        <v>0</v>
      </c>
      <c r="BG97">
        <f>+VALUE(X97)</f>
        <v>0</v>
      </c>
      <c r="BH97">
        <f>+VALUE(Y97)</f>
        <v>0</v>
      </c>
      <c r="BI97">
        <f>+VALUE(Z97)</f>
        <v>0</v>
      </c>
    </row>
    <row r="98" spans="1:61">
      <c r="A98" s="85"/>
      <c r="B98" s="85"/>
      <c r="C98" s="85"/>
      <c r="D98" s="85"/>
      <c r="E98" s="85"/>
      <c r="F98" s="85"/>
      <c r="G98" s="85"/>
      <c r="H98" s="85"/>
      <c r="I98" s="85"/>
      <c r="J98" s="85"/>
      <c r="T98" s="85"/>
      <c r="U98" s="85"/>
      <c r="V98" s="85"/>
      <c r="W98" s="85"/>
      <c r="X98" s="85"/>
      <c r="Y98" s="85"/>
      <c r="Z98" s="85"/>
      <c r="AA98" s="85"/>
      <c r="AB98" s="85"/>
      <c r="AG98" s="89">
        <f t="shared" si="6"/>
        <v>0</v>
      </c>
      <c r="AH98" s="89">
        <f t="shared" si="7"/>
        <v>0</v>
      </c>
      <c r="AI98" s="89">
        <f>IF(AJ98=ParamCOCostCode,0,AP98)</f>
        <v>0</v>
      </c>
      <c r="AJ98">
        <f>+VALUE(A98)</f>
        <v>0</v>
      </c>
      <c r="AK98">
        <f>+B98</f>
        <v>0</v>
      </c>
      <c r="AL98">
        <f>+VALUE(C98)</f>
        <v>0</v>
      </c>
      <c r="AM98">
        <f>+VALUE(D98)</f>
        <v>0</v>
      </c>
      <c r="AN98">
        <f>+VALUE(E98)</f>
        <v>0</v>
      </c>
      <c r="AO98">
        <f>+VALUE(F98)</f>
        <v>0</v>
      </c>
      <c r="AP98">
        <f>+VALUE(G98)</f>
        <v>0</v>
      </c>
      <c r="AQ98">
        <f>+VALUE(H98)</f>
        <v>0</v>
      </c>
      <c r="AR98">
        <f>+VALUE(I98)</f>
        <v>0</v>
      </c>
      <c r="AS98">
        <f>+VALUE(J98)</f>
        <v>0</v>
      </c>
      <c r="BC98" t="str">
        <f>+IF(LEN(T98)&gt;0,T98,"")</f>
        <v/>
      </c>
      <c r="BD98">
        <f>+U98</f>
        <v>0</v>
      </c>
      <c r="BE98">
        <f>+V98</f>
        <v>0</v>
      </c>
      <c r="BF98">
        <f>+VALUE(W98)</f>
        <v>0</v>
      </c>
      <c r="BG98">
        <f>+VALUE(X98)</f>
        <v>0</v>
      </c>
      <c r="BH98">
        <f>+VALUE(Y98)</f>
        <v>0</v>
      </c>
      <c r="BI98">
        <f>+VALUE(Z98)</f>
        <v>0</v>
      </c>
    </row>
    <row r="99" spans="1:61">
      <c r="A99" s="85"/>
      <c r="B99" s="85"/>
      <c r="C99" s="85"/>
      <c r="D99" s="85"/>
      <c r="E99" s="85"/>
      <c r="F99" s="85"/>
      <c r="G99" s="85"/>
      <c r="H99" s="85"/>
      <c r="I99" s="85"/>
      <c r="J99" s="85"/>
      <c r="T99" s="85"/>
      <c r="U99" s="85"/>
      <c r="V99" s="85"/>
      <c r="W99" s="85"/>
      <c r="X99" s="85"/>
      <c r="Y99" s="85"/>
      <c r="Z99" s="85"/>
      <c r="AA99" s="85"/>
      <c r="AB99" s="85"/>
      <c r="AG99" s="89">
        <f t="shared" si="6"/>
        <v>0</v>
      </c>
      <c r="AH99" s="89">
        <f t="shared" si="7"/>
        <v>0</v>
      </c>
      <c r="AI99" s="89">
        <f>IF(AJ99=ParamCOCostCode,0,AP99)</f>
        <v>0</v>
      </c>
      <c r="AJ99">
        <f>+VALUE(A99)</f>
        <v>0</v>
      </c>
      <c r="AK99">
        <f>+B99</f>
        <v>0</v>
      </c>
      <c r="AL99">
        <f>+VALUE(C99)</f>
        <v>0</v>
      </c>
      <c r="AM99">
        <f>+VALUE(D99)</f>
        <v>0</v>
      </c>
      <c r="AN99">
        <f>+VALUE(E99)</f>
        <v>0</v>
      </c>
      <c r="AO99">
        <f>+VALUE(F99)</f>
        <v>0</v>
      </c>
      <c r="AP99">
        <f>+VALUE(G99)</f>
        <v>0</v>
      </c>
      <c r="AQ99">
        <f>+VALUE(H99)</f>
        <v>0</v>
      </c>
      <c r="AR99">
        <f>+VALUE(I99)</f>
        <v>0</v>
      </c>
      <c r="AS99">
        <f>+VALUE(J99)</f>
        <v>0</v>
      </c>
      <c r="BC99" t="str">
        <f>+IF(LEN(T99)&gt;0,T99,"")</f>
        <v/>
      </c>
      <c r="BD99">
        <f>+U99</f>
        <v>0</v>
      </c>
      <c r="BE99">
        <f>+V99</f>
        <v>0</v>
      </c>
      <c r="BF99">
        <f>+VALUE(W99)</f>
        <v>0</v>
      </c>
      <c r="BG99">
        <f>+VALUE(X99)</f>
        <v>0</v>
      </c>
      <c r="BH99">
        <f>+VALUE(Y99)</f>
        <v>0</v>
      </c>
      <c r="BI99">
        <f>+VALUE(Z99)</f>
        <v>0</v>
      </c>
    </row>
    <row r="100" spans="1:61">
      <c r="A100" s="85"/>
      <c r="B100" s="85"/>
      <c r="C100" s="85"/>
      <c r="D100" s="85"/>
      <c r="E100" s="85"/>
      <c r="F100" s="85"/>
      <c r="G100" s="85"/>
      <c r="H100" s="85"/>
      <c r="I100" s="85"/>
      <c r="J100" s="85"/>
      <c r="T100" s="85"/>
      <c r="U100" s="85"/>
      <c r="V100" s="85"/>
      <c r="W100" s="85"/>
      <c r="X100" s="85"/>
      <c r="Y100" s="85"/>
      <c r="Z100" s="85"/>
      <c r="AA100" s="85"/>
      <c r="AB100" s="85"/>
      <c r="AG100" s="89">
        <f t="shared" si="6"/>
        <v>0</v>
      </c>
      <c r="AH100" s="89">
        <f t="shared" si="7"/>
        <v>0</v>
      </c>
      <c r="AI100" s="89">
        <f>IF(AJ100=ParamCOCostCode,0,AP100)</f>
        <v>0</v>
      </c>
      <c r="AJ100">
        <f>+VALUE(A100)</f>
        <v>0</v>
      </c>
      <c r="AK100">
        <f>+B100</f>
        <v>0</v>
      </c>
      <c r="AL100">
        <f>+VALUE(C100)</f>
        <v>0</v>
      </c>
      <c r="AM100">
        <f>+VALUE(D100)</f>
        <v>0</v>
      </c>
      <c r="AN100">
        <f>+VALUE(E100)</f>
        <v>0</v>
      </c>
      <c r="AO100">
        <f>+VALUE(F100)</f>
        <v>0</v>
      </c>
      <c r="AP100">
        <f>+VALUE(G100)</f>
        <v>0</v>
      </c>
      <c r="AQ100">
        <f>+VALUE(H100)</f>
        <v>0</v>
      </c>
      <c r="AR100">
        <f>+VALUE(I100)</f>
        <v>0</v>
      </c>
      <c r="AS100">
        <f>+VALUE(J100)</f>
        <v>0</v>
      </c>
      <c r="BC100" t="str">
        <f>+IF(LEN(T100)&gt;0,T100,"")</f>
        <v/>
      </c>
      <c r="BD100">
        <f>+U100</f>
        <v>0</v>
      </c>
      <c r="BE100">
        <f>+V100</f>
        <v>0</v>
      </c>
      <c r="BF100">
        <f>+VALUE(W100)</f>
        <v>0</v>
      </c>
      <c r="BG100">
        <f>+VALUE(X100)</f>
        <v>0</v>
      </c>
      <c r="BH100">
        <f>+VALUE(Y100)</f>
        <v>0</v>
      </c>
      <c r="BI100">
        <f>+VALUE(Z100)</f>
        <v>0</v>
      </c>
    </row>
    <row r="101" spans="1:61">
      <c r="A101" s="85"/>
      <c r="B101" s="85"/>
      <c r="C101" s="85"/>
      <c r="D101" s="85"/>
      <c r="E101" s="85"/>
      <c r="F101" s="85"/>
      <c r="G101" s="85"/>
      <c r="H101" s="85"/>
      <c r="I101" s="85"/>
      <c r="J101" s="85"/>
      <c r="T101" s="85"/>
      <c r="U101" s="85"/>
      <c r="V101" s="85"/>
      <c r="W101" s="85"/>
      <c r="X101" s="85"/>
      <c r="Y101" s="85"/>
      <c r="Z101" s="85"/>
      <c r="AA101" s="85"/>
      <c r="AB101" s="85"/>
      <c r="AG101" s="89">
        <f t="shared" si="6"/>
        <v>0</v>
      </c>
      <c r="AH101" s="89">
        <f t="shared" si="7"/>
        <v>0</v>
      </c>
      <c r="AI101" s="89">
        <f>IF(AJ101=ParamCOCostCode,0,AP101)</f>
        <v>0</v>
      </c>
      <c r="AJ101">
        <f>+VALUE(A101)</f>
        <v>0</v>
      </c>
      <c r="AK101">
        <f>+B101</f>
        <v>0</v>
      </c>
      <c r="AL101">
        <f>+VALUE(C101)</f>
        <v>0</v>
      </c>
      <c r="AM101">
        <f>+VALUE(D101)</f>
        <v>0</v>
      </c>
      <c r="AN101">
        <f>+VALUE(E101)</f>
        <v>0</v>
      </c>
      <c r="AO101">
        <f>+VALUE(F101)</f>
        <v>0</v>
      </c>
      <c r="AP101">
        <f>+VALUE(G101)</f>
        <v>0</v>
      </c>
      <c r="AQ101">
        <f>+VALUE(H101)</f>
        <v>0</v>
      </c>
      <c r="AR101">
        <f>+VALUE(I101)</f>
        <v>0</v>
      </c>
      <c r="AS101">
        <f>+VALUE(J101)</f>
        <v>0</v>
      </c>
      <c r="BC101" t="str">
        <f>+IF(LEN(T101)&gt;0,T101,"")</f>
        <v/>
      </c>
      <c r="BD101">
        <f>+U101</f>
        <v>0</v>
      </c>
      <c r="BE101">
        <f>+V101</f>
        <v>0</v>
      </c>
      <c r="BF101">
        <f>+VALUE(W101)</f>
        <v>0</v>
      </c>
      <c r="BG101">
        <f>+VALUE(X101)</f>
        <v>0</v>
      </c>
      <c r="BH101">
        <f>+VALUE(Y101)</f>
        <v>0</v>
      </c>
      <c r="BI101">
        <f>+VALUE(Z101)</f>
        <v>0</v>
      </c>
    </row>
    <row r="102" spans="1:61">
      <c r="A102" s="2" t="s">
        <v>23</v>
      </c>
      <c r="B102" s="2" t="s">
        <v>23</v>
      </c>
      <c r="C102" s="2" t="s">
        <v>23</v>
      </c>
      <c r="D102" s="2"/>
      <c r="E102" s="2" t="s">
        <v>23</v>
      </c>
      <c r="F102" s="2" t="s">
        <v>23</v>
      </c>
      <c r="G102" s="2" t="s">
        <v>23</v>
      </c>
      <c r="H102" s="2" t="s">
        <v>23</v>
      </c>
      <c r="I102" s="2"/>
      <c r="J102" s="2" t="s">
        <v>23</v>
      </c>
      <c r="T102" s="85"/>
      <c r="U102" s="85"/>
      <c r="V102" s="85"/>
      <c r="W102" s="85"/>
      <c r="X102" s="85"/>
      <c r="Y102" s="85"/>
      <c r="Z102" s="85"/>
      <c r="AA102" s="85"/>
      <c r="AB102" s="85"/>
      <c r="AG102" s="90" t="s">
        <v>23</v>
      </c>
      <c r="AH102" s="2"/>
      <c r="AI102" s="2"/>
      <c r="AJ102" s="2" t="s">
        <v>23</v>
      </c>
      <c r="AK102" s="2" t="s">
        <v>23</v>
      </c>
      <c r="AL102" s="2" t="s">
        <v>23</v>
      </c>
      <c r="AM102" s="2" t="s">
        <v>23</v>
      </c>
      <c r="AN102" s="2" t="s">
        <v>23</v>
      </c>
      <c r="AO102" s="2" t="s">
        <v>23</v>
      </c>
      <c r="AP102" s="2" t="s">
        <v>23</v>
      </c>
      <c r="AQ102" s="2" t="s">
        <v>23</v>
      </c>
      <c r="AR102" s="2" t="s">
        <v>23</v>
      </c>
      <c r="AS102" s="2" t="s">
        <v>23</v>
      </c>
      <c r="AT102" s="2" t="s">
        <v>23</v>
      </c>
      <c r="BC102" t="str">
        <f>+IF(LEN(T102)&gt;0,T102,"")</f>
        <v/>
      </c>
      <c r="BD102">
        <f>+U102</f>
        <v>0</v>
      </c>
      <c r="BE102">
        <f>+V102</f>
        <v>0</v>
      </c>
      <c r="BF102">
        <f>+VALUE(W102)</f>
        <v>0</v>
      </c>
      <c r="BG102">
        <f>+VALUE(X102)</f>
        <v>0</v>
      </c>
      <c r="BH102">
        <f>+VALUE(Y102)</f>
        <v>0</v>
      </c>
      <c r="BI102">
        <f>+VALUE(Z102)</f>
        <v>0</v>
      </c>
    </row>
    <row r="103" spans="1:61">
      <c r="T103" s="85"/>
      <c r="U103" s="85"/>
      <c r="V103" s="85"/>
      <c r="W103" s="85"/>
      <c r="X103" s="85"/>
      <c r="Y103" s="85"/>
      <c r="Z103" s="85"/>
      <c r="AA103" s="85"/>
      <c r="AB103" s="85"/>
      <c r="AG103" s="89">
        <f>+SUM(CalcChangeCosts)</f>
        <v>0</v>
      </c>
      <c r="AH103" s="89">
        <f>+SUM(CalcChangeBudget)</f>
        <v>0</v>
      </c>
      <c r="AI103" s="89">
        <f>+SUM(CalcPrimeChangeNonCO)</f>
        <v>0</v>
      </c>
      <c r="AQ103">
        <f>+SUM(AQ2:AQ101)</f>
        <v>189793.41999999998</v>
      </c>
      <c r="BC103" t="str">
        <f>+IF(LEN(T103)&gt;0,T103,"")</f>
        <v/>
      </c>
      <c r="BD103">
        <f>+U103</f>
        <v>0</v>
      </c>
      <c r="BE103">
        <f>+V103</f>
        <v>0</v>
      </c>
      <c r="BF103">
        <f>+VALUE(W103)</f>
        <v>0</v>
      </c>
      <c r="BG103">
        <f>+VALUE(X103)</f>
        <v>0</v>
      </c>
      <c r="BH103">
        <f>+VALUE(Y103)</f>
        <v>0</v>
      </c>
      <c r="BI103">
        <f>+VALUE(Z103)</f>
        <v>0</v>
      </c>
    </row>
    <row r="104" spans="1:61">
      <c r="T104" s="85"/>
      <c r="U104" s="85"/>
      <c r="V104" s="85"/>
      <c r="W104" s="85"/>
      <c r="X104" s="85"/>
      <c r="Y104" s="85"/>
      <c r="Z104" s="85"/>
      <c r="AA104" s="85"/>
      <c r="AB104" s="85"/>
      <c r="BC104" t="str">
        <f>+IF(LEN(T104)&gt;0,T104,"")</f>
        <v/>
      </c>
      <c r="BD104">
        <f>+U104</f>
        <v>0</v>
      </c>
      <c r="BE104">
        <f>+V104</f>
        <v>0</v>
      </c>
      <c r="BF104">
        <f>+VALUE(W104)</f>
        <v>0</v>
      </c>
      <c r="BG104">
        <f>+VALUE(X104)</f>
        <v>0</v>
      </c>
      <c r="BH104">
        <f>+VALUE(Y104)</f>
        <v>0</v>
      </c>
      <c r="BI104">
        <f>+VALUE(Z104)</f>
        <v>0</v>
      </c>
    </row>
    <row r="105" spans="1:61">
      <c r="T105" s="85"/>
      <c r="U105" s="85"/>
      <c r="V105" s="85"/>
      <c r="W105" s="85"/>
      <c r="X105" s="85"/>
      <c r="Y105" s="85"/>
      <c r="Z105" s="85"/>
      <c r="AA105" s="85"/>
      <c r="AB105" s="85"/>
      <c r="BC105" t="str">
        <f>+IF(LEN(T105)&gt;0,T105,"")</f>
        <v/>
      </c>
      <c r="BD105">
        <f>+U105</f>
        <v>0</v>
      </c>
      <c r="BE105">
        <f>+V105</f>
        <v>0</v>
      </c>
      <c r="BF105">
        <f>+VALUE(W105)</f>
        <v>0</v>
      </c>
      <c r="BG105">
        <f>+VALUE(X105)</f>
        <v>0</v>
      </c>
      <c r="BH105">
        <f>+VALUE(Y105)</f>
        <v>0</v>
      </c>
      <c r="BI105">
        <f>+VALUE(Z105)</f>
        <v>0</v>
      </c>
    </row>
    <row r="106" spans="1:61">
      <c r="T106" s="85"/>
      <c r="U106" s="85"/>
      <c r="V106" s="85"/>
      <c r="W106" s="85"/>
      <c r="X106" s="85"/>
      <c r="Y106" s="85"/>
      <c r="Z106" s="85"/>
      <c r="AA106" s="85"/>
      <c r="AB106" s="85"/>
      <c r="BC106" t="str">
        <f>+IF(LEN(T106)&gt;0,T106,"")</f>
        <v/>
      </c>
      <c r="BD106">
        <f>+U106</f>
        <v>0</v>
      </c>
      <c r="BE106">
        <f>+V106</f>
        <v>0</v>
      </c>
      <c r="BF106">
        <f>+VALUE(W106)</f>
        <v>0</v>
      </c>
      <c r="BG106">
        <f>+VALUE(X106)</f>
        <v>0</v>
      </c>
      <c r="BH106">
        <f>+VALUE(Y106)</f>
        <v>0</v>
      </c>
      <c r="BI106">
        <f>+VALUE(Z106)</f>
        <v>0</v>
      </c>
    </row>
    <row r="107" spans="1:61">
      <c r="T107" s="85"/>
      <c r="U107" s="85"/>
      <c r="V107" s="85"/>
      <c r="W107" s="85"/>
      <c r="X107" s="85"/>
      <c r="Y107" s="85"/>
      <c r="Z107" s="85"/>
      <c r="AA107" s="85"/>
      <c r="AB107" s="85"/>
      <c r="BC107" t="str">
        <f>+IF(LEN(T107)&gt;0,T107,"")</f>
        <v/>
      </c>
      <c r="BD107">
        <f>+U107</f>
        <v>0</v>
      </c>
      <c r="BE107">
        <f>+V107</f>
        <v>0</v>
      </c>
      <c r="BF107">
        <f>+VALUE(W107)</f>
        <v>0</v>
      </c>
      <c r="BG107">
        <f>+VALUE(X107)</f>
        <v>0</v>
      </c>
      <c r="BH107">
        <f>+VALUE(Y107)</f>
        <v>0</v>
      </c>
      <c r="BI107">
        <f>+VALUE(Z107)</f>
        <v>0</v>
      </c>
    </row>
    <row r="108" spans="1:61">
      <c r="T108" s="85"/>
      <c r="U108" s="85"/>
      <c r="V108" s="85"/>
      <c r="W108" s="85"/>
      <c r="X108" s="85"/>
      <c r="Y108" s="85"/>
      <c r="Z108" s="85"/>
      <c r="AA108" s="85"/>
      <c r="AB108" s="85"/>
      <c r="BC108" t="str">
        <f>+IF(LEN(T108)&gt;0,T108,"")</f>
        <v/>
      </c>
      <c r="BD108">
        <f>+U108</f>
        <v>0</v>
      </c>
      <c r="BE108">
        <f>+V108</f>
        <v>0</v>
      </c>
      <c r="BF108">
        <f>+VALUE(W108)</f>
        <v>0</v>
      </c>
      <c r="BG108">
        <f>+VALUE(X108)</f>
        <v>0</v>
      </c>
      <c r="BH108">
        <f>+VALUE(Y108)</f>
        <v>0</v>
      </c>
      <c r="BI108">
        <f>+VALUE(Z108)</f>
        <v>0</v>
      </c>
    </row>
    <row r="109" spans="1:61">
      <c r="T109" s="85"/>
      <c r="U109" s="85"/>
      <c r="V109" s="85"/>
      <c r="W109" s="85"/>
      <c r="X109" s="85"/>
      <c r="Y109" s="85"/>
      <c r="Z109" s="85"/>
      <c r="AA109" s="85"/>
      <c r="AB109" s="85"/>
      <c r="BC109" t="str">
        <f>+IF(LEN(T109)&gt;0,T109,"")</f>
        <v/>
      </c>
      <c r="BD109">
        <f>+U109</f>
        <v>0</v>
      </c>
      <c r="BE109">
        <f>+V109</f>
        <v>0</v>
      </c>
      <c r="BF109">
        <f>+VALUE(W109)</f>
        <v>0</v>
      </c>
      <c r="BG109">
        <f>+VALUE(X109)</f>
        <v>0</v>
      </c>
      <c r="BH109">
        <f>+VALUE(Y109)</f>
        <v>0</v>
      </c>
      <c r="BI109">
        <f>+VALUE(Z109)</f>
        <v>0</v>
      </c>
    </row>
    <row r="110" spans="1:61">
      <c r="T110" s="85"/>
      <c r="U110" s="85"/>
      <c r="V110" s="85"/>
      <c r="W110" s="85"/>
      <c r="X110" s="85"/>
      <c r="Y110" s="85"/>
      <c r="Z110" s="85"/>
      <c r="AA110" s="85"/>
      <c r="AB110" s="85"/>
      <c r="BC110" t="str">
        <f>+IF(LEN(T110)&gt;0,T110,"")</f>
        <v/>
      </c>
      <c r="BD110">
        <f>+U110</f>
        <v>0</v>
      </c>
      <c r="BE110">
        <f>+V110</f>
        <v>0</v>
      </c>
      <c r="BF110">
        <f>+VALUE(W110)</f>
        <v>0</v>
      </c>
      <c r="BG110">
        <f>+VALUE(X110)</f>
        <v>0</v>
      </c>
      <c r="BH110">
        <f>+VALUE(Y110)</f>
        <v>0</v>
      </c>
      <c r="BI110">
        <f>+VALUE(Z110)</f>
        <v>0</v>
      </c>
    </row>
    <row r="111" spans="1:61">
      <c r="T111" s="85"/>
      <c r="U111" s="85"/>
      <c r="V111" s="85"/>
      <c r="W111" s="85"/>
      <c r="X111" s="85"/>
      <c r="Y111" s="85"/>
      <c r="Z111" s="85"/>
      <c r="AA111" s="85"/>
      <c r="AB111" s="85"/>
      <c r="BC111" t="str">
        <f>+IF(LEN(T111)&gt;0,T111,"")</f>
        <v/>
      </c>
      <c r="BD111">
        <f>+U111</f>
        <v>0</v>
      </c>
      <c r="BE111">
        <f>+V111</f>
        <v>0</v>
      </c>
      <c r="BF111">
        <f>+VALUE(W111)</f>
        <v>0</v>
      </c>
      <c r="BG111">
        <f>+VALUE(X111)</f>
        <v>0</v>
      </c>
      <c r="BH111">
        <f>+VALUE(Y111)</f>
        <v>0</v>
      </c>
      <c r="BI111">
        <f>+VALUE(Z111)</f>
        <v>0</v>
      </c>
    </row>
    <row r="112" spans="1:61">
      <c r="T112" s="85"/>
      <c r="U112" s="85"/>
      <c r="V112" s="85"/>
      <c r="W112" s="85"/>
      <c r="X112" s="85"/>
      <c r="Y112" s="85"/>
      <c r="Z112" s="85"/>
      <c r="AA112" s="85"/>
      <c r="AB112" s="85"/>
      <c r="BC112" t="str">
        <f>+IF(LEN(T112)&gt;0,T112,"")</f>
        <v/>
      </c>
      <c r="BD112">
        <f>+U112</f>
        <v>0</v>
      </c>
      <c r="BE112">
        <f>+V112</f>
        <v>0</v>
      </c>
      <c r="BF112">
        <f>+VALUE(W112)</f>
        <v>0</v>
      </c>
      <c r="BG112">
        <f>+VALUE(X112)</f>
        <v>0</v>
      </c>
      <c r="BH112">
        <f>+VALUE(Y112)</f>
        <v>0</v>
      </c>
      <c r="BI112">
        <f>+VALUE(Z112)</f>
        <v>0</v>
      </c>
    </row>
    <row r="113" spans="20:61">
      <c r="T113" s="85"/>
      <c r="U113" s="85"/>
      <c r="V113" s="85"/>
      <c r="W113" s="85"/>
      <c r="X113" s="85"/>
      <c r="Y113" s="85"/>
      <c r="Z113" s="85"/>
      <c r="AA113" s="85"/>
      <c r="AB113" s="85"/>
      <c r="BC113" t="str">
        <f>+IF(LEN(T113)&gt;0,T113,"")</f>
        <v/>
      </c>
      <c r="BD113">
        <f>+U113</f>
        <v>0</v>
      </c>
      <c r="BE113">
        <f>+V113</f>
        <v>0</v>
      </c>
      <c r="BF113">
        <f>+VALUE(W113)</f>
        <v>0</v>
      </c>
      <c r="BG113">
        <f>+VALUE(X113)</f>
        <v>0</v>
      </c>
      <c r="BH113">
        <f>+VALUE(Y113)</f>
        <v>0</v>
      </c>
      <c r="BI113">
        <f>+VALUE(Z113)</f>
        <v>0</v>
      </c>
    </row>
    <row r="114" spans="20:61">
      <c r="T114" s="85"/>
      <c r="U114" s="85"/>
      <c r="V114" s="85"/>
      <c r="W114" s="85"/>
      <c r="X114" s="85"/>
      <c r="Y114" s="85"/>
      <c r="Z114" s="85"/>
      <c r="AA114" s="85"/>
      <c r="AB114" s="85"/>
      <c r="BC114" t="str">
        <f>+IF(LEN(T114)&gt;0,T114,"")</f>
        <v/>
      </c>
      <c r="BD114">
        <f>+U114</f>
        <v>0</v>
      </c>
      <c r="BE114">
        <f>+V114</f>
        <v>0</v>
      </c>
      <c r="BF114">
        <f>+VALUE(W114)</f>
        <v>0</v>
      </c>
      <c r="BG114">
        <f>+VALUE(X114)</f>
        <v>0</v>
      </c>
      <c r="BH114">
        <f>+VALUE(Y114)</f>
        <v>0</v>
      </c>
      <c r="BI114">
        <f>+VALUE(Z114)</f>
        <v>0</v>
      </c>
    </row>
    <row r="115" spans="20:61">
      <c r="T115" s="85"/>
      <c r="U115" s="85"/>
      <c r="V115" s="85"/>
      <c r="W115" s="85"/>
      <c r="X115" s="85"/>
      <c r="Y115" s="85"/>
      <c r="Z115" s="85"/>
      <c r="AA115" s="85"/>
      <c r="AB115" s="85"/>
      <c r="BC115" t="str">
        <f>+IF(LEN(T115)&gt;0,T115,"")</f>
        <v/>
      </c>
      <c r="BD115">
        <f>+U115</f>
        <v>0</v>
      </c>
      <c r="BE115">
        <f>+V115</f>
        <v>0</v>
      </c>
      <c r="BF115">
        <f>+VALUE(W115)</f>
        <v>0</v>
      </c>
      <c r="BG115">
        <f>+VALUE(X115)</f>
        <v>0</v>
      </c>
      <c r="BH115">
        <f>+VALUE(Y115)</f>
        <v>0</v>
      </c>
      <c r="BI115">
        <f>+VALUE(Z115)</f>
        <v>0</v>
      </c>
    </row>
    <row r="116" spans="20:61">
      <c r="T116" s="85"/>
      <c r="U116" s="85"/>
      <c r="V116" s="85"/>
      <c r="W116" s="85"/>
      <c r="X116" s="85"/>
      <c r="Y116" s="85"/>
      <c r="Z116" s="85"/>
      <c r="AA116" s="85"/>
      <c r="AB116" s="85"/>
      <c r="BC116" t="str">
        <f>+IF(LEN(T116)&gt;0,T116,"")</f>
        <v/>
      </c>
      <c r="BD116">
        <f>+U116</f>
        <v>0</v>
      </c>
      <c r="BE116">
        <f>+V116</f>
        <v>0</v>
      </c>
      <c r="BF116">
        <f>+VALUE(W116)</f>
        <v>0</v>
      </c>
      <c r="BG116">
        <f>+VALUE(X116)</f>
        <v>0</v>
      </c>
      <c r="BH116">
        <f>+VALUE(Y116)</f>
        <v>0</v>
      </c>
      <c r="BI116">
        <f>+VALUE(Z116)</f>
        <v>0</v>
      </c>
    </row>
    <row r="117" spans="20:61">
      <c r="T117" s="85"/>
      <c r="U117" s="85"/>
      <c r="V117" s="85"/>
      <c r="W117" s="85"/>
      <c r="X117" s="85"/>
      <c r="Y117" s="85"/>
      <c r="Z117" s="85"/>
      <c r="AA117" s="85"/>
      <c r="AB117" s="85"/>
      <c r="BC117" t="str">
        <f>+IF(LEN(T117)&gt;0,T117,"")</f>
        <v/>
      </c>
      <c r="BD117">
        <f>+U117</f>
        <v>0</v>
      </c>
      <c r="BE117">
        <f>+V117</f>
        <v>0</v>
      </c>
      <c r="BF117">
        <f>+VALUE(W117)</f>
        <v>0</v>
      </c>
      <c r="BG117">
        <f>+VALUE(X117)</f>
        <v>0</v>
      </c>
      <c r="BH117">
        <f>+VALUE(Y117)</f>
        <v>0</v>
      </c>
      <c r="BI117">
        <f>+VALUE(Z117)</f>
        <v>0</v>
      </c>
    </row>
    <row r="118" spans="20:61">
      <c r="T118" s="85"/>
      <c r="U118" s="85"/>
      <c r="V118" s="85"/>
      <c r="W118" s="85"/>
      <c r="X118" s="85"/>
      <c r="Y118" s="85"/>
      <c r="Z118" s="85"/>
      <c r="AA118" s="85"/>
      <c r="AB118" s="85"/>
      <c r="BC118" t="str">
        <f>+IF(LEN(T118)&gt;0,T118,"")</f>
        <v/>
      </c>
      <c r="BD118">
        <f>+U118</f>
        <v>0</v>
      </c>
      <c r="BE118">
        <f>+V118</f>
        <v>0</v>
      </c>
      <c r="BF118">
        <f>+VALUE(W118)</f>
        <v>0</v>
      </c>
      <c r="BG118">
        <f>+VALUE(X118)</f>
        <v>0</v>
      </c>
      <c r="BH118">
        <f>+VALUE(Y118)</f>
        <v>0</v>
      </c>
      <c r="BI118">
        <f>+VALUE(Z118)</f>
        <v>0</v>
      </c>
    </row>
    <row r="119" spans="20:61">
      <c r="T119" s="85"/>
      <c r="U119" s="85"/>
      <c r="V119" s="85"/>
      <c r="W119" s="85"/>
      <c r="X119" s="85"/>
      <c r="Y119" s="85"/>
      <c r="Z119" s="85"/>
      <c r="AA119" s="85"/>
      <c r="AB119" s="85"/>
      <c r="BC119" t="str">
        <f>+IF(LEN(T119)&gt;0,T119,"")</f>
        <v/>
      </c>
      <c r="BD119">
        <f>+U119</f>
        <v>0</v>
      </c>
      <c r="BE119">
        <f>+V119</f>
        <v>0</v>
      </c>
      <c r="BF119">
        <f>+VALUE(W119)</f>
        <v>0</v>
      </c>
      <c r="BG119">
        <f>+VALUE(X119)</f>
        <v>0</v>
      </c>
      <c r="BH119">
        <f>+VALUE(Y119)</f>
        <v>0</v>
      </c>
      <c r="BI119">
        <f>+VALUE(Z119)</f>
        <v>0</v>
      </c>
    </row>
    <row r="120" spans="20:61">
      <c r="T120" s="85"/>
      <c r="U120" s="85"/>
      <c r="V120" s="85"/>
      <c r="W120" s="85"/>
      <c r="X120" s="85"/>
      <c r="Y120" s="85"/>
      <c r="Z120" s="85"/>
      <c r="AA120" s="85"/>
      <c r="AB120" s="85"/>
      <c r="BC120" t="str">
        <f>+IF(LEN(T120)&gt;0,T120,"")</f>
        <v/>
      </c>
      <c r="BD120">
        <f>+U120</f>
        <v>0</v>
      </c>
      <c r="BE120">
        <f>+V120</f>
        <v>0</v>
      </c>
      <c r="BF120">
        <f>+VALUE(W120)</f>
        <v>0</v>
      </c>
      <c r="BG120">
        <f>+VALUE(X120)</f>
        <v>0</v>
      </c>
      <c r="BH120">
        <f>+VALUE(Y120)</f>
        <v>0</v>
      </c>
      <c r="BI120">
        <f>+VALUE(Z120)</f>
        <v>0</v>
      </c>
    </row>
    <row r="121" spans="20:61">
      <c r="T121" s="85"/>
      <c r="U121" s="85"/>
      <c r="V121" s="85"/>
      <c r="W121" s="85"/>
      <c r="X121" s="85"/>
      <c r="Y121" s="85"/>
      <c r="Z121" s="85"/>
      <c r="AA121" s="85"/>
      <c r="AB121" s="85"/>
      <c r="BC121" t="str">
        <f>+IF(LEN(T121)&gt;0,T121,"")</f>
        <v/>
      </c>
      <c r="BD121">
        <f>+U121</f>
        <v>0</v>
      </c>
      <c r="BE121">
        <f>+V121</f>
        <v>0</v>
      </c>
      <c r="BF121">
        <f>+VALUE(W121)</f>
        <v>0</v>
      </c>
      <c r="BG121">
        <f>+VALUE(X121)</f>
        <v>0</v>
      </c>
      <c r="BH121">
        <f>+VALUE(Y121)</f>
        <v>0</v>
      </c>
      <c r="BI121">
        <f>+VALUE(Z121)</f>
        <v>0</v>
      </c>
    </row>
    <row r="122" spans="20:61">
      <c r="T122" s="85"/>
      <c r="U122" s="85"/>
      <c r="V122" s="85"/>
      <c r="W122" s="85"/>
      <c r="X122" s="85"/>
      <c r="Y122" s="85"/>
      <c r="Z122" s="85"/>
      <c r="AA122" s="85"/>
      <c r="AB122" s="85"/>
      <c r="BC122" t="str">
        <f>+IF(LEN(T122)&gt;0,T122,"")</f>
        <v/>
      </c>
      <c r="BD122">
        <f>+U122</f>
        <v>0</v>
      </c>
      <c r="BE122">
        <f>+V122</f>
        <v>0</v>
      </c>
      <c r="BF122">
        <f>+VALUE(W122)</f>
        <v>0</v>
      </c>
      <c r="BG122">
        <f>+VALUE(X122)</f>
        <v>0</v>
      </c>
      <c r="BH122">
        <f>+VALUE(Y122)</f>
        <v>0</v>
      </c>
      <c r="BI122">
        <f>+VALUE(Z122)</f>
        <v>0</v>
      </c>
    </row>
    <row r="123" spans="20:61">
      <c r="T123" s="85"/>
      <c r="U123" s="85"/>
      <c r="V123" s="85"/>
      <c r="W123" s="85"/>
      <c r="X123" s="85"/>
      <c r="Y123" s="85"/>
      <c r="Z123" s="85"/>
      <c r="AA123" s="85"/>
      <c r="AB123" s="85"/>
      <c r="BC123" t="str">
        <f>+IF(LEN(T123)&gt;0,T123,"")</f>
        <v/>
      </c>
      <c r="BD123">
        <f>+U123</f>
        <v>0</v>
      </c>
      <c r="BE123">
        <f>+V123</f>
        <v>0</v>
      </c>
      <c r="BF123">
        <f>+VALUE(W123)</f>
        <v>0</v>
      </c>
      <c r="BG123">
        <f>+VALUE(X123)</f>
        <v>0</v>
      </c>
      <c r="BH123">
        <f>+VALUE(Y123)</f>
        <v>0</v>
      </c>
      <c r="BI123">
        <f>+VALUE(Z123)</f>
        <v>0</v>
      </c>
    </row>
    <row r="124" spans="20:61">
      <c r="T124" s="85"/>
      <c r="U124" s="85"/>
      <c r="V124" s="85"/>
      <c r="W124" s="85"/>
      <c r="X124" s="85"/>
      <c r="Y124" s="85"/>
      <c r="Z124" s="85"/>
      <c r="AA124" s="85"/>
      <c r="AB124" s="85"/>
      <c r="BC124" t="str">
        <f>+IF(LEN(T124)&gt;0,T124,"")</f>
        <v/>
      </c>
      <c r="BD124">
        <f>+U124</f>
        <v>0</v>
      </c>
      <c r="BE124">
        <f>+V124</f>
        <v>0</v>
      </c>
      <c r="BF124">
        <f>+VALUE(W124)</f>
        <v>0</v>
      </c>
      <c r="BG124">
        <f>+VALUE(X124)</f>
        <v>0</v>
      </c>
      <c r="BH124">
        <f>+VALUE(Y124)</f>
        <v>0</v>
      </c>
      <c r="BI124">
        <f>+VALUE(Z124)</f>
        <v>0</v>
      </c>
    </row>
    <row r="125" spans="20:61">
      <c r="T125" s="85"/>
      <c r="U125" s="85"/>
      <c r="V125" s="85"/>
      <c r="W125" s="85"/>
      <c r="X125" s="85"/>
      <c r="Y125" s="85"/>
      <c r="Z125" s="85"/>
      <c r="AA125" s="85"/>
      <c r="AB125" s="85"/>
      <c r="BC125" t="str">
        <f>+IF(LEN(T125)&gt;0,T125,"")</f>
        <v/>
      </c>
      <c r="BD125">
        <f>+U125</f>
        <v>0</v>
      </c>
      <c r="BE125">
        <f>+V125</f>
        <v>0</v>
      </c>
      <c r="BF125">
        <f>+VALUE(W125)</f>
        <v>0</v>
      </c>
      <c r="BG125">
        <f>+VALUE(X125)</f>
        <v>0</v>
      </c>
      <c r="BH125">
        <f>+VALUE(Y125)</f>
        <v>0</v>
      </c>
      <c r="BI125">
        <f>+VALUE(Z125)</f>
        <v>0</v>
      </c>
    </row>
    <row r="126" spans="20:61">
      <c r="T126" s="85"/>
      <c r="U126" s="85"/>
      <c r="V126" s="85"/>
      <c r="W126" s="85"/>
      <c r="X126" s="85"/>
      <c r="Y126" s="85"/>
      <c r="Z126" s="85"/>
      <c r="AA126" s="85"/>
      <c r="AB126" s="85"/>
      <c r="BC126" t="str">
        <f>+IF(LEN(T126)&gt;0,T126,"")</f>
        <v/>
      </c>
      <c r="BD126">
        <f>+U126</f>
        <v>0</v>
      </c>
      <c r="BE126">
        <f>+V126</f>
        <v>0</v>
      </c>
      <c r="BF126">
        <f>+VALUE(W126)</f>
        <v>0</v>
      </c>
      <c r="BG126">
        <f>+VALUE(X126)</f>
        <v>0</v>
      </c>
      <c r="BH126">
        <f>+VALUE(Y126)</f>
        <v>0</v>
      </c>
      <c r="BI126">
        <f>+VALUE(Z126)</f>
        <v>0</v>
      </c>
    </row>
    <row r="127" spans="20:61">
      <c r="T127" s="85"/>
      <c r="U127" s="85"/>
      <c r="V127" s="85"/>
      <c r="W127" s="85"/>
      <c r="X127" s="85"/>
      <c r="Y127" s="85"/>
      <c r="Z127" s="85"/>
      <c r="AA127" s="85"/>
      <c r="AB127" s="85"/>
      <c r="BC127" t="str">
        <f>+IF(LEN(T127)&gt;0,T127,"")</f>
        <v/>
      </c>
      <c r="BD127">
        <f>+U127</f>
        <v>0</v>
      </c>
      <c r="BE127">
        <f>+V127</f>
        <v>0</v>
      </c>
      <c r="BF127">
        <f>+VALUE(W127)</f>
        <v>0</v>
      </c>
      <c r="BG127">
        <f>+VALUE(X127)</f>
        <v>0</v>
      </c>
      <c r="BH127">
        <f>+VALUE(Y127)</f>
        <v>0</v>
      </c>
      <c r="BI127">
        <f>+VALUE(Z127)</f>
        <v>0</v>
      </c>
    </row>
    <row r="128" spans="20:61">
      <c r="T128" s="85"/>
      <c r="U128" s="85"/>
      <c r="V128" s="85"/>
      <c r="W128" s="85"/>
      <c r="X128" s="85"/>
      <c r="Y128" s="85"/>
      <c r="Z128" s="85"/>
      <c r="AA128" s="85"/>
      <c r="AB128" s="85"/>
      <c r="BC128" t="str">
        <f>+IF(LEN(T128)&gt;0,T128,"")</f>
        <v/>
      </c>
      <c r="BD128">
        <f>+U128</f>
        <v>0</v>
      </c>
      <c r="BE128">
        <f>+V128</f>
        <v>0</v>
      </c>
      <c r="BF128">
        <f>+VALUE(W128)</f>
        <v>0</v>
      </c>
      <c r="BG128">
        <f>+VALUE(X128)</f>
        <v>0</v>
      </c>
      <c r="BH128">
        <f>+VALUE(Y128)</f>
        <v>0</v>
      </c>
      <c r="BI128">
        <f>+VALUE(Z128)</f>
        <v>0</v>
      </c>
    </row>
    <row r="129" spans="20:61">
      <c r="T129" s="85"/>
      <c r="U129" s="85"/>
      <c r="V129" s="85"/>
      <c r="W129" s="85"/>
      <c r="X129" s="85"/>
      <c r="Y129" s="85"/>
      <c r="Z129" s="85"/>
      <c r="AA129" s="85"/>
      <c r="AB129" s="85"/>
      <c r="BC129" t="str">
        <f>+IF(LEN(T129)&gt;0,T129,"")</f>
        <v/>
      </c>
      <c r="BD129">
        <f>+U129</f>
        <v>0</v>
      </c>
      <c r="BE129">
        <f>+V129</f>
        <v>0</v>
      </c>
      <c r="BF129">
        <f>+VALUE(W129)</f>
        <v>0</v>
      </c>
      <c r="BG129">
        <f>+VALUE(X129)</f>
        <v>0</v>
      </c>
      <c r="BH129">
        <f>+VALUE(Y129)</f>
        <v>0</v>
      </c>
      <c r="BI129">
        <f>+VALUE(Z129)</f>
        <v>0</v>
      </c>
    </row>
    <row r="130" spans="20:61">
      <c r="T130" s="85"/>
      <c r="U130" s="85"/>
      <c r="V130" s="85"/>
      <c r="W130" s="85"/>
      <c r="X130" s="85"/>
      <c r="Y130" s="85"/>
      <c r="Z130" s="85"/>
      <c r="AA130" s="85"/>
      <c r="AB130" s="85"/>
      <c r="BC130" t="str">
        <f>+IF(LEN(T130)&gt;0,T130,"")</f>
        <v/>
      </c>
      <c r="BD130">
        <f>+U130</f>
        <v>0</v>
      </c>
      <c r="BE130">
        <f>+V130</f>
        <v>0</v>
      </c>
      <c r="BF130">
        <f>+VALUE(W130)</f>
        <v>0</v>
      </c>
      <c r="BG130">
        <f>+VALUE(X130)</f>
        <v>0</v>
      </c>
      <c r="BH130">
        <f>+VALUE(Y130)</f>
        <v>0</v>
      </c>
      <c r="BI130">
        <f>+VALUE(Z130)</f>
        <v>0</v>
      </c>
    </row>
    <row r="131" spans="20:61">
      <c r="T131" s="85"/>
      <c r="U131" s="85"/>
      <c r="V131" s="85"/>
      <c r="W131" s="85"/>
      <c r="X131" s="85"/>
      <c r="Y131" s="85"/>
      <c r="Z131" s="85"/>
      <c r="AA131" s="85"/>
      <c r="AB131" s="85"/>
      <c r="BC131" t="str">
        <f>+IF(LEN(T131)&gt;0,T131,"")</f>
        <v/>
      </c>
      <c r="BD131">
        <f>+U131</f>
        <v>0</v>
      </c>
      <c r="BE131">
        <f>+V131</f>
        <v>0</v>
      </c>
      <c r="BF131">
        <f>+VALUE(W131)</f>
        <v>0</v>
      </c>
      <c r="BG131">
        <f>+VALUE(X131)</f>
        <v>0</v>
      </c>
      <c r="BH131">
        <f>+VALUE(Y131)</f>
        <v>0</v>
      </c>
      <c r="BI131">
        <f>+VALUE(Z131)</f>
        <v>0</v>
      </c>
    </row>
    <row r="132" spans="20:61">
      <c r="T132" s="85"/>
      <c r="U132" s="85"/>
      <c r="V132" s="85"/>
      <c r="W132" s="85"/>
      <c r="X132" s="85"/>
      <c r="Y132" s="85"/>
      <c r="Z132" s="85"/>
      <c r="AA132" s="85"/>
      <c r="AB132" s="85"/>
      <c r="BC132" t="str">
        <f>+IF(LEN(T132)&gt;0,T132,"")</f>
        <v/>
      </c>
      <c r="BD132">
        <f>+U132</f>
        <v>0</v>
      </c>
      <c r="BE132">
        <f>+V132</f>
        <v>0</v>
      </c>
      <c r="BF132">
        <f>+VALUE(W132)</f>
        <v>0</v>
      </c>
      <c r="BG132">
        <f>+VALUE(X132)</f>
        <v>0</v>
      </c>
      <c r="BH132">
        <f>+VALUE(Y132)</f>
        <v>0</v>
      </c>
      <c r="BI132">
        <f>+VALUE(Z132)</f>
        <v>0</v>
      </c>
    </row>
    <row r="133" spans="20:61">
      <c r="T133" s="85"/>
      <c r="U133" s="85"/>
      <c r="V133" s="85"/>
      <c r="W133" s="85"/>
      <c r="X133" s="85"/>
      <c r="Y133" s="85"/>
      <c r="Z133" s="85"/>
      <c r="AA133" s="85"/>
      <c r="AB133" s="85"/>
      <c r="BC133" t="str">
        <f>+IF(LEN(T133)&gt;0,T133,"")</f>
        <v/>
      </c>
      <c r="BD133">
        <f>+U133</f>
        <v>0</v>
      </c>
      <c r="BE133">
        <f>+V133</f>
        <v>0</v>
      </c>
      <c r="BF133">
        <f>+VALUE(W133)</f>
        <v>0</v>
      </c>
      <c r="BG133">
        <f>+VALUE(X133)</f>
        <v>0</v>
      </c>
      <c r="BH133">
        <f>+VALUE(Y133)</f>
        <v>0</v>
      </c>
      <c r="BI133">
        <f>+VALUE(Z133)</f>
        <v>0</v>
      </c>
    </row>
    <row r="134" spans="20:61">
      <c r="T134" s="85"/>
      <c r="U134" s="85"/>
      <c r="V134" s="85"/>
      <c r="W134" s="85"/>
      <c r="X134" s="85"/>
      <c r="Y134" s="85"/>
      <c r="Z134" s="85"/>
      <c r="AA134" s="85"/>
      <c r="AB134" s="85"/>
      <c r="BC134" t="str">
        <f>+IF(LEN(T134)&gt;0,T134,"")</f>
        <v/>
      </c>
      <c r="BD134">
        <f>+U134</f>
        <v>0</v>
      </c>
      <c r="BE134">
        <f>+V134</f>
        <v>0</v>
      </c>
      <c r="BF134">
        <f>+VALUE(W134)</f>
        <v>0</v>
      </c>
      <c r="BG134">
        <f>+VALUE(X134)</f>
        <v>0</v>
      </c>
      <c r="BH134">
        <f>+VALUE(Y134)</f>
        <v>0</v>
      </c>
      <c r="BI134">
        <f>+VALUE(Z134)</f>
        <v>0</v>
      </c>
    </row>
    <row r="135" spans="20:61">
      <c r="T135" s="85"/>
      <c r="U135" s="85"/>
      <c r="V135" s="85"/>
      <c r="W135" s="85"/>
      <c r="X135" s="85"/>
      <c r="Y135" s="85"/>
      <c r="Z135" s="85"/>
      <c r="AA135" s="85"/>
      <c r="AB135" s="85"/>
      <c r="BC135" t="str">
        <f>+IF(LEN(T135)&gt;0,T135,"")</f>
        <v/>
      </c>
      <c r="BD135">
        <f>+U135</f>
        <v>0</v>
      </c>
      <c r="BE135">
        <f>+V135</f>
        <v>0</v>
      </c>
      <c r="BF135">
        <f>+VALUE(W135)</f>
        <v>0</v>
      </c>
      <c r="BG135">
        <f>+VALUE(X135)</f>
        <v>0</v>
      </c>
      <c r="BH135">
        <f>+VALUE(Y135)</f>
        <v>0</v>
      </c>
      <c r="BI135">
        <f>+VALUE(Z135)</f>
        <v>0</v>
      </c>
    </row>
    <row r="136" spans="20:61">
      <c r="T136" s="85"/>
      <c r="U136" s="85"/>
      <c r="V136" s="85"/>
      <c r="W136" s="85"/>
      <c r="X136" s="85"/>
      <c r="Y136" s="85"/>
      <c r="Z136" s="85"/>
      <c r="AA136" s="85"/>
      <c r="AB136" s="85"/>
      <c r="BC136" t="str">
        <f>+IF(LEN(T136)&gt;0,T136,"")</f>
        <v/>
      </c>
      <c r="BD136">
        <f>+U136</f>
        <v>0</v>
      </c>
      <c r="BE136">
        <f>+V136</f>
        <v>0</v>
      </c>
      <c r="BF136">
        <f>+VALUE(W136)</f>
        <v>0</v>
      </c>
      <c r="BG136">
        <f>+VALUE(X136)</f>
        <v>0</v>
      </c>
      <c r="BH136">
        <f>+VALUE(Y136)</f>
        <v>0</v>
      </c>
      <c r="BI136">
        <f>+VALUE(Z136)</f>
        <v>0</v>
      </c>
    </row>
    <row r="137" spans="20:61">
      <c r="T137" s="85"/>
      <c r="U137" s="85"/>
      <c r="V137" s="85"/>
      <c r="W137" s="85"/>
      <c r="X137" s="85"/>
      <c r="Y137" s="85"/>
      <c r="Z137" s="85"/>
      <c r="AA137" s="85"/>
      <c r="AB137" s="85"/>
      <c r="BC137" t="str">
        <f>+IF(LEN(T137)&gt;0,T137,"")</f>
        <v/>
      </c>
      <c r="BD137">
        <f>+U137</f>
        <v>0</v>
      </c>
      <c r="BE137">
        <f>+V137</f>
        <v>0</v>
      </c>
      <c r="BF137">
        <f>+VALUE(W137)</f>
        <v>0</v>
      </c>
      <c r="BG137">
        <f>+VALUE(X137)</f>
        <v>0</v>
      </c>
      <c r="BH137">
        <f>+VALUE(Y137)</f>
        <v>0</v>
      </c>
      <c r="BI137">
        <f>+VALUE(Z137)</f>
        <v>0</v>
      </c>
    </row>
    <row r="138" spans="20:61">
      <c r="T138" s="85"/>
      <c r="U138" s="85"/>
      <c r="V138" s="85"/>
      <c r="W138" s="85"/>
      <c r="X138" s="85"/>
      <c r="Y138" s="85"/>
      <c r="Z138" s="85"/>
      <c r="AA138" s="85"/>
      <c r="AB138" s="85"/>
      <c r="BC138" t="str">
        <f>+IF(LEN(T138)&gt;0,T138,"")</f>
        <v/>
      </c>
      <c r="BD138">
        <f>+U138</f>
        <v>0</v>
      </c>
      <c r="BE138">
        <f>+V138</f>
        <v>0</v>
      </c>
      <c r="BF138">
        <f>+VALUE(W138)</f>
        <v>0</v>
      </c>
      <c r="BG138">
        <f>+VALUE(X138)</f>
        <v>0</v>
      </c>
      <c r="BH138">
        <f>+VALUE(Y138)</f>
        <v>0</v>
      </c>
      <c r="BI138">
        <f>+VALUE(Z138)</f>
        <v>0</v>
      </c>
    </row>
    <row r="139" spans="20:61">
      <c r="T139" s="85"/>
      <c r="U139" s="85"/>
      <c r="V139" s="85"/>
      <c r="W139" s="85"/>
      <c r="X139" s="85"/>
      <c r="Y139" s="85"/>
      <c r="Z139" s="85"/>
      <c r="AA139" s="85"/>
      <c r="AB139" s="85"/>
      <c r="BC139" t="str">
        <f>+IF(LEN(T139)&gt;0,T139,"")</f>
        <v/>
      </c>
      <c r="BD139">
        <f>+U139</f>
        <v>0</v>
      </c>
      <c r="BE139">
        <f>+V139</f>
        <v>0</v>
      </c>
      <c r="BF139">
        <f>+VALUE(W139)</f>
        <v>0</v>
      </c>
      <c r="BG139">
        <f>+VALUE(X139)</f>
        <v>0</v>
      </c>
      <c r="BH139">
        <f>+VALUE(Y139)</f>
        <v>0</v>
      </c>
      <c r="BI139">
        <f>+VALUE(Z139)</f>
        <v>0</v>
      </c>
    </row>
    <row r="140" spans="20:61">
      <c r="T140" s="85"/>
      <c r="U140" s="85"/>
      <c r="V140" s="85"/>
      <c r="W140" s="85"/>
      <c r="X140" s="85"/>
      <c r="Y140" s="85"/>
      <c r="Z140" s="85"/>
      <c r="AA140" s="85"/>
      <c r="AB140" s="85"/>
      <c r="BC140" t="str">
        <f>+IF(LEN(T140)&gt;0,T140,"")</f>
        <v/>
      </c>
      <c r="BD140">
        <f>+U140</f>
        <v>0</v>
      </c>
      <c r="BE140">
        <f>+V140</f>
        <v>0</v>
      </c>
      <c r="BF140">
        <f>+VALUE(W140)</f>
        <v>0</v>
      </c>
      <c r="BG140">
        <f>+VALUE(X140)</f>
        <v>0</v>
      </c>
      <c r="BH140">
        <f>+VALUE(Y140)</f>
        <v>0</v>
      </c>
      <c r="BI140">
        <f>+VALUE(Z140)</f>
        <v>0</v>
      </c>
    </row>
    <row r="141" spans="20:61">
      <c r="T141" s="85"/>
      <c r="U141" s="85"/>
      <c r="V141" s="85"/>
      <c r="W141" s="85"/>
      <c r="X141" s="85"/>
      <c r="Y141" s="85"/>
      <c r="Z141" s="85"/>
      <c r="AA141" s="85"/>
      <c r="AB141" s="85"/>
      <c r="BC141" t="str">
        <f>+IF(LEN(T141)&gt;0,T141,"")</f>
        <v/>
      </c>
      <c r="BD141">
        <f>+U141</f>
        <v>0</v>
      </c>
      <c r="BE141">
        <f>+V141</f>
        <v>0</v>
      </c>
      <c r="BF141">
        <f>+VALUE(W141)</f>
        <v>0</v>
      </c>
      <c r="BG141">
        <f>+VALUE(X141)</f>
        <v>0</v>
      </c>
      <c r="BH141">
        <f>+VALUE(Y141)</f>
        <v>0</v>
      </c>
      <c r="BI141">
        <f>+VALUE(Z141)</f>
        <v>0</v>
      </c>
    </row>
    <row r="142" spans="20:61">
      <c r="T142" s="85"/>
      <c r="U142" s="85"/>
      <c r="V142" s="85"/>
      <c r="W142" s="85"/>
      <c r="X142" s="85"/>
      <c r="Y142" s="85"/>
      <c r="Z142" s="85"/>
      <c r="AA142" s="85"/>
      <c r="AB142" s="85"/>
      <c r="BC142" t="str">
        <f>+IF(LEN(T142)&gt;0,T142,"")</f>
        <v/>
      </c>
      <c r="BD142">
        <f>+U142</f>
        <v>0</v>
      </c>
      <c r="BE142">
        <f>+V142</f>
        <v>0</v>
      </c>
      <c r="BF142">
        <f>+VALUE(W142)</f>
        <v>0</v>
      </c>
      <c r="BG142">
        <f>+VALUE(X142)</f>
        <v>0</v>
      </c>
      <c r="BH142">
        <f>+VALUE(Y142)</f>
        <v>0</v>
      </c>
      <c r="BI142">
        <f>+VALUE(Z142)</f>
        <v>0</v>
      </c>
    </row>
    <row r="143" spans="20:61">
      <c r="T143" s="85"/>
      <c r="U143" s="85"/>
      <c r="V143" s="85"/>
      <c r="W143" s="85"/>
      <c r="X143" s="85"/>
      <c r="Y143" s="85"/>
      <c r="Z143" s="85"/>
      <c r="AA143" s="85"/>
      <c r="AB143" s="85"/>
      <c r="BC143" t="str">
        <f>+IF(LEN(T143)&gt;0,T143,"")</f>
        <v/>
      </c>
      <c r="BD143">
        <f>+U143</f>
        <v>0</v>
      </c>
      <c r="BE143">
        <f>+V143</f>
        <v>0</v>
      </c>
      <c r="BF143">
        <f>+VALUE(W143)</f>
        <v>0</v>
      </c>
      <c r="BG143">
        <f>+VALUE(X143)</f>
        <v>0</v>
      </c>
      <c r="BH143">
        <f>+VALUE(Y143)</f>
        <v>0</v>
      </c>
      <c r="BI143">
        <f>+VALUE(Z143)</f>
        <v>0</v>
      </c>
    </row>
    <row r="144" spans="20:61">
      <c r="T144" s="85"/>
      <c r="U144" s="85"/>
      <c r="V144" s="85"/>
      <c r="W144" s="85"/>
      <c r="X144" s="85"/>
      <c r="Y144" s="85"/>
      <c r="Z144" s="85"/>
      <c r="AA144" s="85"/>
      <c r="AB144" s="85"/>
      <c r="BC144" t="str">
        <f>+IF(LEN(T144)&gt;0,T144,"")</f>
        <v/>
      </c>
      <c r="BD144">
        <f>+U144</f>
        <v>0</v>
      </c>
      <c r="BE144">
        <f>+V144</f>
        <v>0</v>
      </c>
      <c r="BF144">
        <f>+VALUE(W144)</f>
        <v>0</v>
      </c>
      <c r="BG144">
        <f>+VALUE(X144)</f>
        <v>0</v>
      </c>
      <c r="BH144">
        <f>+VALUE(Y144)</f>
        <v>0</v>
      </c>
      <c r="BI144">
        <f>+VALUE(Z144)</f>
        <v>0</v>
      </c>
    </row>
    <row r="145" spans="20:61">
      <c r="T145" s="85"/>
      <c r="U145" s="85"/>
      <c r="V145" s="85"/>
      <c r="W145" s="85"/>
      <c r="X145" s="85"/>
      <c r="Y145" s="85"/>
      <c r="Z145" s="85"/>
      <c r="AA145" s="85"/>
      <c r="AB145" s="85"/>
      <c r="BC145" t="str">
        <f>+IF(LEN(T145)&gt;0,T145,"")</f>
        <v/>
      </c>
      <c r="BD145">
        <f>+U145</f>
        <v>0</v>
      </c>
      <c r="BE145">
        <f>+V145</f>
        <v>0</v>
      </c>
      <c r="BF145">
        <f>+VALUE(W145)</f>
        <v>0</v>
      </c>
      <c r="BG145">
        <f>+VALUE(X145)</f>
        <v>0</v>
      </c>
      <c r="BH145">
        <f>+VALUE(Y145)</f>
        <v>0</v>
      </c>
      <c r="BI145">
        <f>+VALUE(Z145)</f>
        <v>0</v>
      </c>
    </row>
    <row r="146" spans="20:61">
      <c r="T146" s="85"/>
      <c r="U146" s="85"/>
      <c r="V146" s="85"/>
      <c r="W146" s="85"/>
      <c r="X146" s="85"/>
      <c r="Y146" s="85"/>
      <c r="Z146" s="85"/>
      <c r="AA146" s="85"/>
      <c r="AB146" s="85"/>
      <c r="BC146" t="str">
        <f>+IF(LEN(T146)&gt;0,T146,"")</f>
        <v/>
      </c>
      <c r="BD146">
        <f>+U146</f>
        <v>0</v>
      </c>
      <c r="BE146">
        <f>+V146</f>
        <v>0</v>
      </c>
      <c r="BF146">
        <f>+VALUE(W146)</f>
        <v>0</v>
      </c>
      <c r="BG146">
        <f>+VALUE(X146)</f>
        <v>0</v>
      </c>
      <c r="BH146">
        <f>+VALUE(Y146)</f>
        <v>0</v>
      </c>
      <c r="BI146">
        <f>+VALUE(Z146)</f>
        <v>0</v>
      </c>
    </row>
    <row r="147" spans="20:61">
      <c r="T147" s="85"/>
      <c r="U147" s="85"/>
      <c r="V147" s="85"/>
      <c r="W147" s="85"/>
      <c r="X147" s="85"/>
      <c r="Y147" s="85"/>
      <c r="Z147" s="85"/>
      <c r="AA147" s="85"/>
      <c r="AB147" s="85"/>
      <c r="BC147" t="str">
        <f>+IF(LEN(T147)&gt;0,T147,"")</f>
        <v/>
      </c>
      <c r="BD147">
        <f>+U147</f>
        <v>0</v>
      </c>
      <c r="BE147">
        <f>+V147</f>
        <v>0</v>
      </c>
      <c r="BF147">
        <f>+VALUE(W147)</f>
        <v>0</v>
      </c>
      <c r="BG147">
        <f>+VALUE(X147)</f>
        <v>0</v>
      </c>
      <c r="BH147">
        <f>+VALUE(Y147)</f>
        <v>0</v>
      </c>
      <c r="BI147">
        <f>+VALUE(Z147)</f>
        <v>0</v>
      </c>
    </row>
    <row r="148" spans="20:61">
      <c r="T148" s="85"/>
      <c r="U148" s="85"/>
      <c r="V148" s="85"/>
      <c r="W148" s="85"/>
      <c r="X148" s="85"/>
      <c r="Y148" s="85"/>
      <c r="Z148" s="85"/>
      <c r="AA148" s="85"/>
      <c r="AB148" s="85"/>
      <c r="BC148" t="str">
        <f>+IF(LEN(T148)&gt;0,T148,"")</f>
        <v/>
      </c>
      <c r="BD148">
        <f>+U148</f>
        <v>0</v>
      </c>
      <c r="BE148">
        <f>+V148</f>
        <v>0</v>
      </c>
      <c r="BF148">
        <f>+VALUE(W148)</f>
        <v>0</v>
      </c>
      <c r="BG148">
        <f>+VALUE(X148)</f>
        <v>0</v>
      </c>
      <c r="BH148">
        <f>+VALUE(Y148)</f>
        <v>0</v>
      </c>
      <c r="BI148">
        <f>+VALUE(Z148)</f>
        <v>0</v>
      </c>
    </row>
    <row r="149" spans="20:61">
      <c r="T149" s="85"/>
      <c r="U149" s="85"/>
      <c r="V149" s="85"/>
      <c r="W149" s="85"/>
      <c r="X149" s="85"/>
      <c r="Y149" s="85"/>
      <c r="Z149" s="85"/>
      <c r="AA149" s="85"/>
      <c r="AB149" s="85"/>
      <c r="BC149" t="str">
        <f>+IF(LEN(T149)&gt;0,T149,"")</f>
        <v/>
      </c>
      <c r="BD149">
        <f>+U149</f>
        <v>0</v>
      </c>
      <c r="BE149">
        <f>+V149</f>
        <v>0</v>
      </c>
      <c r="BF149">
        <f>+VALUE(W149)</f>
        <v>0</v>
      </c>
      <c r="BG149">
        <f>+VALUE(X149)</f>
        <v>0</v>
      </c>
      <c r="BH149">
        <f>+VALUE(Y149)</f>
        <v>0</v>
      </c>
      <c r="BI149">
        <f>+VALUE(Z149)</f>
        <v>0</v>
      </c>
    </row>
    <row r="150" spans="20:61">
      <c r="T150" s="85"/>
      <c r="U150" s="85"/>
      <c r="V150" s="85"/>
      <c r="W150" s="85"/>
      <c r="X150" s="85"/>
      <c r="Y150" s="85"/>
      <c r="Z150" s="85"/>
      <c r="AA150" s="85"/>
      <c r="AB150" s="85"/>
      <c r="BC150" t="str">
        <f>+IF(LEN(T150)&gt;0,T150,"")</f>
        <v/>
      </c>
      <c r="BD150">
        <f>+U150</f>
        <v>0</v>
      </c>
      <c r="BE150">
        <f>+V150</f>
        <v>0</v>
      </c>
      <c r="BF150">
        <f>+VALUE(W150)</f>
        <v>0</v>
      </c>
      <c r="BG150">
        <f>+VALUE(X150)</f>
        <v>0</v>
      </c>
      <c r="BH150">
        <f>+VALUE(Y150)</f>
        <v>0</v>
      </c>
      <c r="BI150">
        <f>+VALUE(Z150)</f>
        <v>0</v>
      </c>
    </row>
    <row r="151" spans="20:61">
      <c r="T151" s="85"/>
      <c r="U151" s="85"/>
      <c r="V151" s="85"/>
      <c r="W151" s="85"/>
      <c r="X151" s="85"/>
      <c r="Y151" s="85"/>
      <c r="Z151" s="85"/>
      <c r="AA151" s="85"/>
      <c r="AB151" s="85"/>
      <c r="BC151" t="str">
        <f>+IF(LEN(T151)&gt;0,T151,"")</f>
        <v/>
      </c>
      <c r="BD151">
        <f>+U151</f>
        <v>0</v>
      </c>
      <c r="BE151">
        <f>+V151</f>
        <v>0</v>
      </c>
      <c r="BF151">
        <f>+VALUE(W151)</f>
        <v>0</v>
      </c>
      <c r="BG151">
        <f>+VALUE(X151)</f>
        <v>0</v>
      </c>
      <c r="BH151">
        <f>+VALUE(Y151)</f>
        <v>0</v>
      </c>
      <c r="BI151">
        <f>+VALUE(Z151)</f>
        <v>0</v>
      </c>
    </row>
    <row r="152" spans="20:61">
      <c r="T152" s="85"/>
      <c r="U152" s="85"/>
      <c r="V152" s="85"/>
      <c r="W152" s="85"/>
      <c r="X152" s="85"/>
      <c r="Y152" s="85"/>
      <c r="Z152" s="85"/>
      <c r="AA152" s="85"/>
      <c r="AB152" s="85"/>
      <c r="BC152" t="str">
        <f>+IF(LEN(T152)&gt;0,T152,"")</f>
        <v/>
      </c>
      <c r="BD152">
        <f>+U152</f>
        <v>0</v>
      </c>
      <c r="BE152">
        <f>+V152</f>
        <v>0</v>
      </c>
      <c r="BF152">
        <f>+VALUE(W152)</f>
        <v>0</v>
      </c>
      <c r="BG152">
        <f>+VALUE(X152)</f>
        <v>0</v>
      </c>
      <c r="BH152">
        <f>+VALUE(Y152)</f>
        <v>0</v>
      </c>
      <c r="BI152">
        <f>+VALUE(Z152)</f>
        <v>0</v>
      </c>
    </row>
    <row r="153" spans="20:61">
      <c r="T153" s="85"/>
      <c r="U153" s="85"/>
      <c r="V153" s="85"/>
      <c r="W153" s="85"/>
      <c r="X153" s="85"/>
      <c r="Y153" s="85"/>
      <c r="Z153" s="85"/>
      <c r="AA153" s="85"/>
      <c r="AB153" s="85"/>
      <c r="BC153" t="str">
        <f>+IF(LEN(T153)&gt;0,T153,"")</f>
        <v/>
      </c>
      <c r="BD153">
        <f>+U153</f>
        <v>0</v>
      </c>
      <c r="BE153">
        <f>+V153</f>
        <v>0</v>
      </c>
      <c r="BF153">
        <f>+VALUE(W153)</f>
        <v>0</v>
      </c>
      <c r="BG153">
        <f>+VALUE(X153)</f>
        <v>0</v>
      </c>
      <c r="BH153">
        <f>+VALUE(Y153)</f>
        <v>0</v>
      </c>
      <c r="BI153">
        <f>+VALUE(Z153)</f>
        <v>0</v>
      </c>
    </row>
    <row r="154" spans="20:61">
      <c r="T154" s="85"/>
      <c r="U154" s="85"/>
      <c r="V154" s="85"/>
      <c r="W154" s="85"/>
      <c r="X154" s="85"/>
      <c r="Y154" s="85"/>
      <c r="Z154" s="85"/>
      <c r="AA154" s="85"/>
      <c r="AB154" s="85"/>
      <c r="BC154" t="str">
        <f>+IF(LEN(T154)&gt;0,T154,"")</f>
        <v/>
      </c>
      <c r="BD154">
        <f>+U154</f>
        <v>0</v>
      </c>
      <c r="BE154">
        <f>+V154</f>
        <v>0</v>
      </c>
      <c r="BF154">
        <f>+VALUE(W154)</f>
        <v>0</v>
      </c>
      <c r="BG154">
        <f>+VALUE(X154)</f>
        <v>0</v>
      </c>
      <c r="BH154">
        <f>+VALUE(Y154)</f>
        <v>0</v>
      </c>
      <c r="BI154">
        <f>+VALUE(Z154)</f>
        <v>0</v>
      </c>
    </row>
    <row r="155" spans="20:61">
      <c r="T155" s="85"/>
      <c r="U155" s="85"/>
      <c r="V155" s="85"/>
      <c r="W155" s="85"/>
      <c r="X155" s="85"/>
      <c r="Y155" s="85"/>
      <c r="Z155" s="85"/>
      <c r="AA155" s="85"/>
      <c r="AB155" s="85"/>
      <c r="BC155" t="str">
        <f>+IF(LEN(T155)&gt;0,T155,"")</f>
        <v/>
      </c>
      <c r="BD155">
        <f>+U155</f>
        <v>0</v>
      </c>
      <c r="BE155">
        <f>+V155</f>
        <v>0</v>
      </c>
      <c r="BF155">
        <f>+VALUE(W155)</f>
        <v>0</v>
      </c>
      <c r="BG155">
        <f>+VALUE(X155)</f>
        <v>0</v>
      </c>
      <c r="BH155">
        <f>+VALUE(Y155)</f>
        <v>0</v>
      </c>
      <c r="BI155">
        <f>+VALUE(Z155)</f>
        <v>0</v>
      </c>
    </row>
    <row r="156" spans="20:61">
      <c r="T156" s="85"/>
      <c r="U156" s="85"/>
      <c r="V156" s="85"/>
      <c r="W156" s="85"/>
      <c r="X156" s="85"/>
      <c r="Y156" s="85"/>
      <c r="Z156" s="85"/>
      <c r="AA156" s="85"/>
      <c r="AB156" s="85"/>
      <c r="BC156" t="str">
        <f>+IF(LEN(T156)&gt;0,T156,"")</f>
        <v/>
      </c>
      <c r="BD156">
        <f>+U156</f>
        <v>0</v>
      </c>
      <c r="BE156">
        <f>+V156</f>
        <v>0</v>
      </c>
      <c r="BF156">
        <f>+VALUE(W156)</f>
        <v>0</v>
      </c>
      <c r="BG156">
        <f>+VALUE(X156)</f>
        <v>0</v>
      </c>
      <c r="BH156">
        <f>+VALUE(Y156)</f>
        <v>0</v>
      </c>
      <c r="BI156">
        <f>+VALUE(Z156)</f>
        <v>0</v>
      </c>
    </row>
    <row r="157" spans="20:61">
      <c r="T157" s="85"/>
      <c r="U157" s="85"/>
      <c r="V157" s="85"/>
      <c r="W157" s="85"/>
      <c r="X157" s="85"/>
      <c r="Y157" s="85"/>
      <c r="Z157" s="85"/>
      <c r="AA157" s="85"/>
      <c r="AB157" s="85"/>
      <c r="BC157" t="str">
        <f>+IF(LEN(T157)&gt;0,T157,"")</f>
        <v/>
      </c>
      <c r="BD157">
        <f>+U157</f>
        <v>0</v>
      </c>
      <c r="BE157">
        <f>+V157</f>
        <v>0</v>
      </c>
      <c r="BF157">
        <f>+VALUE(W157)</f>
        <v>0</v>
      </c>
      <c r="BG157">
        <f>+VALUE(X157)</f>
        <v>0</v>
      </c>
      <c r="BH157">
        <f>+VALUE(Y157)</f>
        <v>0</v>
      </c>
      <c r="BI157">
        <f>+VALUE(Z157)</f>
        <v>0</v>
      </c>
    </row>
    <row r="158" spans="20:61">
      <c r="T158" s="85"/>
      <c r="U158" s="85"/>
      <c r="V158" s="85"/>
      <c r="W158" s="85"/>
      <c r="X158" s="85"/>
      <c r="Y158" s="85"/>
      <c r="Z158" s="85"/>
      <c r="AA158" s="85"/>
      <c r="AB158" s="85"/>
      <c r="BC158" t="str">
        <f>+IF(LEN(T158)&gt;0,T158,"")</f>
        <v/>
      </c>
      <c r="BD158">
        <f>+U158</f>
        <v>0</v>
      </c>
      <c r="BE158">
        <f>+V158</f>
        <v>0</v>
      </c>
      <c r="BF158">
        <f>+VALUE(W158)</f>
        <v>0</v>
      </c>
      <c r="BG158">
        <f>+VALUE(X158)</f>
        <v>0</v>
      </c>
      <c r="BH158">
        <f>+VALUE(Y158)</f>
        <v>0</v>
      </c>
      <c r="BI158">
        <f>+VALUE(Z158)</f>
        <v>0</v>
      </c>
    </row>
    <row r="159" spans="20:61">
      <c r="T159" s="85"/>
      <c r="U159" s="85"/>
      <c r="V159" s="85"/>
      <c r="W159" s="85"/>
      <c r="X159" s="85"/>
      <c r="Y159" s="85"/>
      <c r="Z159" s="85"/>
      <c r="AA159" s="85"/>
      <c r="AB159" s="85"/>
      <c r="BC159" t="str">
        <f>+IF(LEN(T159)&gt;0,T159,"")</f>
        <v/>
      </c>
      <c r="BD159">
        <f>+U159</f>
        <v>0</v>
      </c>
      <c r="BE159">
        <f>+V159</f>
        <v>0</v>
      </c>
      <c r="BF159">
        <f>+VALUE(W159)</f>
        <v>0</v>
      </c>
      <c r="BG159">
        <f>+VALUE(X159)</f>
        <v>0</v>
      </c>
      <c r="BH159">
        <f>+VALUE(Y159)</f>
        <v>0</v>
      </c>
      <c r="BI159">
        <f>+VALUE(Z159)</f>
        <v>0</v>
      </c>
    </row>
    <row r="160" spans="20:61">
      <c r="T160" s="85"/>
      <c r="U160" s="85"/>
      <c r="V160" s="85"/>
      <c r="W160" s="85"/>
      <c r="X160" s="85"/>
      <c r="Y160" s="85"/>
      <c r="Z160" s="85"/>
      <c r="AA160" s="85"/>
      <c r="AB160" s="85"/>
      <c r="BC160" t="str">
        <f>+IF(LEN(T160)&gt;0,T160,"")</f>
        <v/>
      </c>
      <c r="BD160">
        <f>+U160</f>
        <v>0</v>
      </c>
      <c r="BE160">
        <f>+V160</f>
        <v>0</v>
      </c>
      <c r="BF160">
        <f>+VALUE(W160)</f>
        <v>0</v>
      </c>
      <c r="BG160">
        <f>+VALUE(X160)</f>
        <v>0</v>
      </c>
      <c r="BH160">
        <f>+VALUE(Y160)</f>
        <v>0</v>
      </c>
      <c r="BI160">
        <f>+VALUE(Z160)</f>
        <v>0</v>
      </c>
    </row>
    <row r="161" spans="20:61">
      <c r="T161" s="85"/>
      <c r="U161" s="85"/>
      <c r="V161" s="85"/>
      <c r="W161" s="85"/>
      <c r="X161" s="85"/>
      <c r="Y161" s="85"/>
      <c r="Z161" s="85"/>
      <c r="AA161" s="85"/>
      <c r="AB161" s="85"/>
      <c r="BC161" t="str">
        <f>+IF(LEN(T161)&gt;0,T161,"")</f>
        <v/>
      </c>
      <c r="BD161">
        <f>+U161</f>
        <v>0</v>
      </c>
      <c r="BE161">
        <f>+V161</f>
        <v>0</v>
      </c>
      <c r="BF161">
        <f>+VALUE(W161)</f>
        <v>0</v>
      </c>
      <c r="BG161">
        <f>+VALUE(X161)</f>
        <v>0</v>
      </c>
      <c r="BH161">
        <f>+VALUE(Y161)</f>
        <v>0</v>
      </c>
      <c r="BI161">
        <f>+VALUE(Z161)</f>
        <v>0</v>
      </c>
    </row>
    <row r="162" spans="20:61">
      <c r="T162" s="85"/>
      <c r="U162" s="85"/>
      <c r="V162" s="85"/>
      <c r="W162" s="85"/>
      <c r="X162" s="85"/>
      <c r="Y162" s="85"/>
      <c r="Z162" s="85"/>
      <c r="AA162" s="85"/>
      <c r="AB162" s="85"/>
      <c r="BC162" t="str">
        <f>+IF(LEN(T162)&gt;0,T162,"")</f>
        <v/>
      </c>
      <c r="BD162">
        <f>+U162</f>
        <v>0</v>
      </c>
      <c r="BE162">
        <f>+V162</f>
        <v>0</v>
      </c>
      <c r="BF162">
        <f>+VALUE(W162)</f>
        <v>0</v>
      </c>
      <c r="BG162">
        <f>+VALUE(X162)</f>
        <v>0</v>
      </c>
      <c r="BH162">
        <f>+VALUE(Y162)</f>
        <v>0</v>
      </c>
      <c r="BI162">
        <f>+VALUE(Z162)</f>
        <v>0</v>
      </c>
    </row>
    <row r="163" spans="20:61">
      <c r="T163" s="85"/>
      <c r="U163" s="85"/>
      <c r="V163" s="85"/>
      <c r="W163" s="85"/>
      <c r="X163" s="85"/>
      <c r="Y163" s="85"/>
      <c r="Z163" s="85"/>
      <c r="AA163" s="85"/>
      <c r="AB163" s="85"/>
      <c r="BC163" t="str">
        <f>+IF(LEN(T163)&gt;0,T163,"")</f>
        <v/>
      </c>
      <c r="BD163">
        <f>+U163</f>
        <v>0</v>
      </c>
      <c r="BE163">
        <f>+V163</f>
        <v>0</v>
      </c>
      <c r="BF163">
        <f>+VALUE(W163)</f>
        <v>0</v>
      </c>
      <c r="BG163">
        <f>+VALUE(X163)</f>
        <v>0</v>
      </c>
      <c r="BH163">
        <f>+VALUE(Y163)</f>
        <v>0</v>
      </c>
      <c r="BI163">
        <f>+VALUE(Z163)</f>
        <v>0</v>
      </c>
    </row>
    <row r="164" spans="20:61">
      <c r="T164" s="85"/>
      <c r="U164" s="85"/>
      <c r="V164" s="85"/>
      <c r="W164" s="85"/>
      <c r="X164" s="85"/>
      <c r="Y164" s="85"/>
      <c r="Z164" s="85"/>
      <c r="AA164" s="85"/>
      <c r="AB164" s="85"/>
      <c r="BC164" t="str">
        <f>+IF(LEN(T164)&gt;0,T164,"")</f>
        <v/>
      </c>
      <c r="BD164">
        <f>+U164</f>
        <v>0</v>
      </c>
      <c r="BE164">
        <f>+V164</f>
        <v>0</v>
      </c>
      <c r="BF164">
        <f>+VALUE(W164)</f>
        <v>0</v>
      </c>
      <c r="BG164">
        <f>+VALUE(X164)</f>
        <v>0</v>
      </c>
      <c r="BH164">
        <f>+VALUE(Y164)</f>
        <v>0</v>
      </c>
      <c r="BI164">
        <f>+VALUE(Z164)</f>
        <v>0</v>
      </c>
    </row>
    <row r="165" spans="20:61">
      <c r="T165" s="85"/>
      <c r="U165" s="85"/>
      <c r="V165" s="85"/>
      <c r="W165" s="85"/>
      <c r="X165" s="85"/>
      <c r="Y165" s="85"/>
      <c r="Z165" s="85"/>
      <c r="AA165" s="85"/>
      <c r="AB165" s="85"/>
      <c r="BC165" t="str">
        <f>+IF(LEN(T165)&gt;0,T165,"")</f>
        <v/>
      </c>
      <c r="BD165">
        <f>+U165</f>
        <v>0</v>
      </c>
      <c r="BE165">
        <f>+V165</f>
        <v>0</v>
      </c>
      <c r="BF165">
        <f>+VALUE(W165)</f>
        <v>0</v>
      </c>
      <c r="BG165">
        <f>+VALUE(X165)</f>
        <v>0</v>
      </c>
      <c r="BH165">
        <f>+VALUE(Y165)</f>
        <v>0</v>
      </c>
      <c r="BI165">
        <f>+VALUE(Z165)</f>
        <v>0</v>
      </c>
    </row>
    <row r="166" spans="20:61">
      <c r="T166" s="85"/>
      <c r="U166" s="85"/>
      <c r="V166" s="85"/>
      <c r="W166" s="85"/>
      <c r="X166" s="85"/>
      <c r="Y166" s="85"/>
      <c r="Z166" s="85"/>
      <c r="AA166" s="85"/>
      <c r="AB166" s="85"/>
      <c r="BC166" t="str">
        <f>+IF(LEN(T166)&gt;0,T166,"")</f>
        <v/>
      </c>
      <c r="BD166">
        <f>+U166</f>
        <v>0</v>
      </c>
      <c r="BE166">
        <f>+V166</f>
        <v>0</v>
      </c>
      <c r="BF166">
        <f>+VALUE(W166)</f>
        <v>0</v>
      </c>
      <c r="BG166">
        <f>+VALUE(X166)</f>
        <v>0</v>
      </c>
      <c r="BH166">
        <f>+VALUE(Y166)</f>
        <v>0</v>
      </c>
      <c r="BI166">
        <f>+VALUE(Z166)</f>
        <v>0</v>
      </c>
    </row>
    <row r="167" spans="20:61">
      <c r="T167" s="85"/>
      <c r="U167" s="85"/>
      <c r="V167" s="85"/>
      <c r="W167" s="85"/>
      <c r="X167" s="85"/>
      <c r="Y167" s="85"/>
      <c r="Z167" s="85"/>
      <c r="AA167" s="85"/>
      <c r="AB167" s="85"/>
      <c r="BC167" t="str">
        <f>+IF(LEN(T167)&gt;0,T167,"")</f>
        <v/>
      </c>
      <c r="BD167">
        <f>+U167</f>
        <v>0</v>
      </c>
      <c r="BE167">
        <f>+V167</f>
        <v>0</v>
      </c>
      <c r="BF167">
        <f>+VALUE(W167)</f>
        <v>0</v>
      </c>
      <c r="BG167">
        <f>+VALUE(X167)</f>
        <v>0</v>
      </c>
      <c r="BH167">
        <f>+VALUE(Y167)</f>
        <v>0</v>
      </c>
      <c r="BI167">
        <f>+VALUE(Z167)</f>
        <v>0</v>
      </c>
    </row>
    <row r="168" spans="20:61">
      <c r="T168" s="85"/>
      <c r="U168" s="85"/>
      <c r="V168" s="85"/>
      <c r="W168" s="85"/>
      <c r="X168" s="85"/>
      <c r="Y168" s="85"/>
      <c r="Z168" s="85"/>
      <c r="AA168" s="85"/>
      <c r="AB168" s="85"/>
      <c r="BC168" t="str">
        <f>+IF(LEN(T168)&gt;0,T168,"")</f>
        <v/>
      </c>
      <c r="BD168">
        <f>+U168</f>
        <v>0</v>
      </c>
      <c r="BE168">
        <f>+V168</f>
        <v>0</v>
      </c>
      <c r="BF168">
        <f>+VALUE(W168)</f>
        <v>0</v>
      </c>
      <c r="BG168">
        <f>+VALUE(X168)</f>
        <v>0</v>
      </c>
      <c r="BH168">
        <f>+VALUE(Y168)</f>
        <v>0</v>
      </c>
      <c r="BI168">
        <f>+VALUE(Z168)</f>
        <v>0</v>
      </c>
    </row>
    <row r="169" spans="20:61">
      <c r="T169" s="85"/>
      <c r="U169" s="85"/>
      <c r="V169" s="85"/>
      <c r="W169" s="85"/>
      <c r="X169" s="85"/>
      <c r="Y169" s="85"/>
      <c r="Z169" s="85"/>
      <c r="AA169" s="85"/>
      <c r="AB169" s="85"/>
      <c r="BC169" t="str">
        <f>+IF(LEN(T169)&gt;0,T169,"")</f>
        <v/>
      </c>
      <c r="BD169">
        <f>+U169</f>
        <v>0</v>
      </c>
      <c r="BE169">
        <f>+V169</f>
        <v>0</v>
      </c>
      <c r="BF169">
        <f>+VALUE(W169)</f>
        <v>0</v>
      </c>
      <c r="BG169">
        <f>+VALUE(X169)</f>
        <v>0</v>
      </c>
      <c r="BH169">
        <f>+VALUE(Y169)</f>
        <v>0</v>
      </c>
      <c r="BI169">
        <f>+VALUE(Z169)</f>
        <v>0</v>
      </c>
    </row>
    <row r="170" spans="20:61">
      <c r="T170" s="85"/>
      <c r="U170" s="85"/>
      <c r="V170" s="85"/>
      <c r="W170" s="85"/>
      <c r="X170" s="85"/>
      <c r="Y170" s="85"/>
      <c r="Z170" s="85"/>
      <c r="AA170" s="85"/>
      <c r="AB170" s="85"/>
      <c r="BC170" t="str">
        <f>+IF(LEN(T170)&gt;0,T170,"")</f>
        <v/>
      </c>
      <c r="BD170">
        <f>+U170</f>
        <v>0</v>
      </c>
      <c r="BE170">
        <f>+V170</f>
        <v>0</v>
      </c>
      <c r="BF170">
        <f>+VALUE(W170)</f>
        <v>0</v>
      </c>
      <c r="BG170">
        <f>+VALUE(X170)</f>
        <v>0</v>
      </c>
      <c r="BH170">
        <f>+VALUE(Y170)</f>
        <v>0</v>
      </c>
      <c r="BI170">
        <f>+VALUE(Z170)</f>
        <v>0</v>
      </c>
    </row>
    <row r="171" spans="20:61">
      <c r="T171" s="85"/>
      <c r="U171" s="85"/>
      <c r="V171" s="85"/>
      <c r="W171" s="85"/>
      <c r="X171" s="85"/>
      <c r="Y171" s="85"/>
      <c r="Z171" s="85"/>
      <c r="AA171" s="85"/>
      <c r="AB171" s="85"/>
      <c r="BC171" t="str">
        <f>+IF(LEN(T171)&gt;0,T171,"")</f>
        <v/>
      </c>
      <c r="BD171">
        <f>+U171</f>
        <v>0</v>
      </c>
      <c r="BE171">
        <f>+V171</f>
        <v>0</v>
      </c>
      <c r="BF171">
        <f>+VALUE(W171)</f>
        <v>0</v>
      </c>
      <c r="BG171">
        <f>+VALUE(X171)</f>
        <v>0</v>
      </c>
      <c r="BH171">
        <f>+VALUE(Y171)</f>
        <v>0</v>
      </c>
      <c r="BI171">
        <f>+VALUE(Z171)</f>
        <v>0</v>
      </c>
    </row>
    <row r="172" spans="20:61">
      <c r="T172" s="85"/>
      <c r="U172" s="85"/>
      <c r="V172" s="85"/>
      <c r="W172" s="85"/>
      <c r="X172" s="85"/>
      <c r="Y172" s="85"/>
      <c r="Z172" s="85"/>
      <c r="AA172" s="85"/>
      <c r="AB172" s="85"/>
      <c r="BC172" t="str">
        <f>+IF(LEN(T172)&gt;0,T172,"")</f>
        <v/>
      </c>
      <c r="BD172">
        <f>+U172</f>
        <v>0</v>
      </c>
      <c r="BE172">
        <f>+V172</f>
        <v>0</v>
      </c>
      <c r="BF172">
        <f>+VALUE(W172)</f>
        <v>0</v>
      </c>
      <c r="BG172">
        <f>+VALUE(X172)</f>
        <v>0</v>
      </c>
      <c r="BH172">
        <f>+VALUE(Y172)</f>
        <v>0</v>
      </c>
      <c r="BI172">
        <f>+VALUE(Z172)</f>
        <v>0</v>
      </c>
    </row>
    <row r="173" spans="20:61">
      <c r="T173" s="85"/>
      <c r="U173" s="85"/>
      <c r="V173" s="85"/>
      <c r="W173" s="85"/>
      <c r="X173" s="85"/>
      <c r="Y173" s="85"/>
      <c r="Z173" s="85"/>
      <c r="AA173" s="85"/>
      <c r="AB173" s="85"/>
      <c r="BC173" t="str">
        <f>+IF(LEN(T173)&gt;0,T173,"")</f>
        <v/>
      </c>
      <c r="BD173">
        <f>+U173</f>
        <v>0</v>
      </c>
      <c r="BE173">
        <f>+V173</f>
        <v>0</v>
      </c>
      <c r="BF173">
        <f>+VALUE(W173)</f>
        <v>0</v>
      </c>
      <c r="BG173">
        <f>+VALUE(X173)</f>
        <v>0</v>
      </c>
      <c r="BH173">
        <f>+VALUE(Y173)</f>
        <v>0</v>
      </c>
      <c r="BI173">
        <f>+VALUE(Z173)</f>
        <v>0</v>
      </c>
    </row>
    <row r="174" spans="20:61">
      <c r="T174" s="85"/>
      <c r="U174" s="85"/>
      <c r="V174" s="85"/>
      <c r="W174" s="85"/>
      <c r="X174" s="85"/>
      <c r="Y174" s="85"/>
      <c r="Z174" s="85"/>
      <c r="AA174" s="85"/>
      <c r="AB174" s="85"/>
      <c r="BC174" t="str">
        <f>+IF(LEN(T174)&gt;0,T174,"")</f>
        <v/>
      </c>
      <c r="BD174">
        <f>+U174</f>
        <v>0</v>
      </c>
      <c r="BE174">
        <f>+V174</f>
        <v>0</v>
      </c>
      <c r="BF174">
        <f>+VALUE(W174)</f>
        <v>0</v>
      </c>
      <c r="BG174">
        <f>+VALUE(X174)</f>
        <v>0</v>
      </c>
      <c r="BH174">
        <f>+VALUE(Y174)</f>
        <v>0</v>
      </c>
      <c r="BI174">
        <f>+VALUE(Z174)</f>
        <v>0</v>
      </c>
    </row>
    <row r="175" spans="20:61">
      <c r="T175" s="85"/>
      <c r="U175" s="85"/>
      <c r="V175" s="85"/>
      <c r="W175" s="85"/>
      <c r="X175" s="85"/>
      <c r="Y175" s="85"/>
      <c r="Z175" s="85"/>
      <c r="AA175" s="85"/>
      <c r="AB175" s="85"/>
      <c r="BC175" t="str">
        <f>+IF(LEN(T175)&gt;0,T175,"")</f>
        <v/>
      </c>
      <c r="BD175">
        <f>+U175</f>
        <v>0</v>
      </c>
      <c r="BE175">
        <f>+V175</f>
        <v>0</v>
      </c>
      <c r="BF175">
        <f>+VALUE(W175)</f>
        <v>0</v>
      </c>
      <c r="BG175">
        <f>+VALUE(X175)</f>
        <v>0</v>
      </c>
      <c r="BH175">
        <f>+VALUE(Y175)</f>
        <v>0</v>
      </c>
      <c r="BI175">
        <f>+VALUE(Z175)</f>
        <v>0</v>
      </c>
    </row>
    <row r="176" spans="20:61">
      <c r="T176" s="85"/>
      <c r="U176" s="85"/>
      <c r="V176" s="85"/>
      <c r="W176" s="85"/>
      <c r="X176" s="85"/>
      <c r="Y176" s="85"/>
      <c r="Z176" s="85"/>
      <c r="AA176" s="85"/>
      <c r="AB176" s="85"/>
      <c r="BC176" t="str">
        <f>+IF(LEN(T176)&gt;0,T176,"")</f>
        <v/>
      </c>
      <c r="BD176">
        <f>+U176</f>
        <v>0</v>
      </c>
      <c r="BE176">
        <f>+V176</f>
        <v>0</v>
      </c>
      <c r="BF176">
        <f>+VALUE(W176)</f>
        <v>0</v>
      </c>
      <c r="BG176">
        <f>+VALUE(X176)</f>
        <v>0</v>
      </c>
      <c r="BH176">
        <f>+VALUE(Y176)</f>
        <v>0</v>
      </c>
      <c r="BI176">
        <f>+VALUE(Z176)</f>
        <v>0</v>
      </c>
    </row>
    <row r="177" spans="20:61">
      <c r="T177" s="85"/>
      <c r="U177" s="85"/>
      <c r="V177" s="85"/>
      <c r="W177" s="85"/>
      <c r="X177" s="85"/>
      <c r="Y177" s="85"/>
      <c r="Z177" s="85"/>
      <c r="AA177" s="85"/>
      <c r="AB177" s="85"/>
      <c r="BC177" t="str">
        <f>+IF(LEN(T177)&gt;0,T177,"")</f>
        <v/>
      </c>
      <c r="BD177">
        <f>+U177</f>
        <v>0</v>
      </c>
      <c r="BE177">
        <f>+V177</f>
        <v>0</v>
      </c>
      <c r="BF177">
        <f>+VALUE(W177)</f>
        <v>0</v>
      </c>
      <c r="BG177">
        <f>+VALUE(X177)</f>
        <v>0</v>
      </c>
      <c r="BH177">
        <f>+VALUE(Y177)</f>
        <v>0</v>
      </c>
      <c r="BI177">
        <f>+VALUE(Z177)</f>
        <v>0</v>
      </c>
    </row>
    <row r="178" spans="20:61">
      <c r="T178" s="85"/>
      <c r="U178" s="85"/>
      <c r="V178" s="85"/>
      <c r="W178" s="85"/>
      <c r="X178" s="85"/>
      <c r="Y178" s="85"/>
      <c r="Z178" s="85"/>
      <c r="AA178" s="85"/>
      <c r="AB178" s="85"/>
      <c r="BC178" t="str">
        <f>+IF(LEN(T178)&gt;0,T178,"")</f>
        <v/>
      </c>
      <c r="BD178">
        <f>+U178</f>
        <v>0</v>
      </c>
      <c r="BE178">
        <f>+V178</f>
        <v>0</v>
      </c>
      <c r="BF178">
        <f>+VALUE(W178)</f>
        <v>0</v>
      </c>
      <c r="BG178">
        <f>+VALUE(X178)</f>
        <v>0</v>
      </c>
      <c r="BH178">
        <f>+VALUE(Y178)</f>
        <v>0</v>
      </c>
      <c r="BI178">
        <f>+VALUE(Z178)</f>
        <v>0</v>
      </c>
    </row>
    <row r="179" spans="20:61">
      <c r="T179" s="85"/>
      <c r="U179" s="85"/>
      <c r="V179" s="85"/>
      <c r="W179" s="85"/>
      <c r="X179" s="85"/>
      <c r="Y179" s="85"/>
      <c r="Z179" s="85"/>
      <c r="AA179" s="85"/>
      <c r="AB179" s="85"/>
      <c r="BC179" t="str">
        <f>+IF(LEN(T179)&gt;0,T179,"")</f>
        <v/>
      </c>
      <c r="BD179">
        <f>+U179</f>
        <v>0</v>
      </c>
      <c r="BE179">
        <f>+V179</f>
        <v>0</v>
      </c>
      <c r="BF179">
        <f>+VALUE(W179)</f>
        <v>0</v>
      </c>
      <c r="BG179">
        <f>+VALUE(X179)</f>
        <v>0</v>
      </c>
      <c r="BH179">
        <f>+VALUE(Y179)</f>
        <v>0</v>
      </c>
      <c r="BI179">
        <f>+VALUE(Z179)</f>
        <v>0</v>
      </c>
    </row>
    <row r="180" spans="20:61">
      <c r="T180" s="85"/>
      <c r="U180" s="85"/>
      <c r="V180" s="85"/>
      <c r="W180" s="85"/>
      <c r="X180" s="85"/>
      <c r="Y180" s="85"/>
      <c r="Z180" s="85"/>
      <c r="AA180" s="85"/>
      <c r="AB180" s="85"/>
      <c r="BC180" t="str">
        <f>+IF(LEN(T180)&gt;0,T180,"")</f>
        <v/>
      </c>
      <c r="BD180">
        <f>+U180</f>
        <v>0</v>
      </c>
      <c r="BE180">
        <f>+V180</f>
        <v>0</v>
      </c>
      <c r="BF180">
        <f>+VALUE(W180)</f>
        <v>0</v>
      </c>
      <c r="BG180">
        <f>+VALUE(X180)</f>
        <v>0</v>
      </c>
      <c r="BH180">
        <f>+VALUE(Y180)</f>
        <v>0</v>
      </c>
      <c r="BI180">
        <f>+VALUE(Z180)</f>
        <v>0</v>
      </c>
    </row>
    <row r="181" spans="20:61">
      <c r="T181" s="85"/>
      <c r="U181" s="85"/>
      <c r="V181" s="85"/>
      <c r="W181" s="85"/>
      <c r="X181" s="85"/>
      <c r="Y181" s="85"/>
      <c r="Z181" s="85"/>
      <c r="AA181" s="85"/>
      <c r="AB181" s="85"/>
      <c r="BC181" t="str">
        <f>+IF(LEN(T181)&gt;0,T181,"")</f>
        <v/>
      </c>
      <c r="BD181">
        <f>+U181</f>
        <v>0</v>
      </c>
      <c r="BE181">
        <f>+V181</f>
        <v>0</v>
      </c>
      <c r="BF181">
        <f>+VALUE(W181)</f>
        <v>0</v>
      </c>
      <c r="BG181">
        <f>+VALUE(X181)</f>
        <v>0</v>
      </c>
      <c r="BH181">
        <f>+VALUE(Y181)</f>
        <v>0</v>
      </c>
      <c r="BI181">
        <f>+VALUE(Z181)</f>
        <v>0</v>
      </c>
    </row>
    <row r="182" spans="20:61">
      <c r="T182" s="85"/>
      <c r="U182" s="85"/>
      <c r="V182" s="85"/>
      <c r="W182" s="85"/>
      <c r="X182" s="85"/>
      <c r="Y182" s="85"/>
      <c r="Z182" s="85"/>
      <c r="AA182" s="85"/>
      <c r="AB182" s="85"/>
      <c r="BC182" t="str">
        <f>+IF(LEN(T182)&gt;0,T182,"")</f>
        <v/>
      </c>
      <c r="BD182">
        <f>+U182</f>
        <v>0</v>
      </c>
      <c r="BE182">
        <f>+V182</f>
        <v>0</v>
      </c>
      <c r="BF182">
        <f>+VALUE(W182)</f>
        <v>0</v>
      </c>
      <c r="BG182">
        <f>+VALUE(X182)</f>
        <v>0</v>
      </c>
      <c r="BH182">
        <f>+VALUE(Y182)</f>
        <v>0</v>
      </c>
      <c r="BI182">
        <f>+VALUE(Z182)</f>
        <v>0</v>
      </c>
    </row>
    <row r="183" spans="20:61">
      <c r="T183" s="85"/>
      <c r="U183" s="85"/>
      <c r="V183" s="85"/>
      <c r="W183" s="85"/>
      <c r="X183" s="85"/>
      <c r="Y183" s="85"/>
      <c r="Z183" s="85"/>
      <c r="AA183" s="85"/>
      <c r="AB183" s="85"/>
      <c r="BC183" t="str">
        <f>+IF(LEN(T183)&gt;0,T183,"")</f>
        <v/>
      </c>
      <c r="BD183">
        <f>+U183</f>
        <v>0</v>
      </c>
      <c r="BE183">
        <f>+V183</f>
        <v>0</v>
      </c>
      <c r="BF183">
        <f>+VALUE(W183)</f>
        <v>0</v>
      </c>
      <c r="BG183">
        <f>+VALUE(X183)</f>
        <v>0</v>
      </c>
      <c r="BH183">
        <f>+VALUE(Y183)</f>
        <v>0</v>
      </c>
      <c r="BI183">
        <f>+VALUE(Z183)</f>
        <v>0</v>
      </c>
    </row>
    <row r="184" spans="20:61">
      <c r="T184" s="85"/>
      <c r="U184" s="85"/>
      <c r="V184" s="85"/>
      <c r="W184" s="85"/>
      <c r="X184" s="85"/>
      <c r="Y184" s="85"/>
      <c r="Z184" s="85"/>
      <c r="AA184" s="85"/>
      <c r="AB184" s="85"/>
      <c r="BC184" t="str">
        <f>+IF(LEN(T184)&gt;0,T184,"")</f>
        <v/>
      </c>
      <c r="BD184">
        <f>+U184</f>
        <v>0</v>
      </c>
      <c r="BE184">
        <f>+V184</f>
        <v>0</v>
      </c>
      <c r="BF184">
        <f>+VALUE(W184)</f>
        <v>0</v>
      </c>
      <c r="BG184">
        <f>+VALUE(X184)</f>
        <v>0</v>
      </c>
      <c r="BH184">
        <f>+VALUE(Y184)</f>
        <v>0</v>
      </c>
      <c r="BI184">
        <f>+VALUE(Z184)</f>
        <v>0</v>
      </c>
    </row>
    <row r="185" spans="20:61">
      <c r="T185" s="85"/>
      <c r="U185" s="85"/>
      <c r="V185" s="85"/>
      <c r="W185" s="85"/>
      <c r="X185" s="85"/>
      <c r="Y185" s="85"/>
      <c r="Z185" s="85"/>
      <c r="AA185" s="85"/>
      <c r="AB185" s="85"/>
      <c r="BC185" t="str">
        <f>+IF(LEN(T185)&gt;0,T185,"")</f>
        <v/>
      </c>
      <c r="BD185">
        <f>+U185</f>
        <v>0</v>
      </c>
      <c r="BE185">
        <f>+V185</f>
        <v>0</v>
      </c>
      <c r="BF185">
        <f>+VALUE(W185)</f>
        <v>0</v>
      </c>
      <c r="BG185">
        <f>+VALUE(X185)</f>
        <v>0</v>
      </c>
      <c r="BH185">
        <f>+VALUE(Y185)</f>
        <v>0</v>
      </c>
      <c r="BI185">
        <f>+VALUE(Z185)</f>
        <v>0</v>
      </c>
    </row>
    <row r="186" spans="20:61">
      <c r="T186" s="85"/>
      <c r="U186" s="85"/>
      <c r="V186" s="85"/>
      <c r="W186" s="85"/>
      <c r="X186" s="85"/>
      <c r="Y186" s="85"/>
      <c r="Z186" s="85"/>
      <c r="AA186" s="85"/>
      <c r="AB186" s="85"/>
      <c r="BC186" t="str">
        <f>+IF(LEN(T186)&gt;0,T186,"")</f>
        <v/>
      </c>
      <c r="BD186">
        <f>+U186</f>
        <v>0</v>
      </c>
      <c r="BE186">
        <f>+V186</f>
        <v>0</v>
      </c>
      <c r="BF186">
        <f>+VALUE(W186)</f>
        <v>0</v>
      </c>
      <c r="BG186">
        <f>+VALUE(X186)</f>
        <v>0</v>
      </c>
      <c r="BH186">
        <f>+VALUE(Y186)</f>
        <v>0</v>
      </c>
      <c r="BI186">
        <f>+VALUE(Z186)</f>
        <v>0</v>
      </c>
    </row>
    <row r="187" spans="20:61">
      <c r="T187" s="85"/>
      <c r="U187" s="85"/>
      <c r="V187" s="85"/>
      <c r="W187" s="85"/>
      <c r="X187" s="85"/>
      <c r="Y187" s="85"/>
      <c r="Z187" s="85"/>
      <c r="AA187" s="85"/>
      <c r="AB187" s="85"/>
      <c r="BC187" t="str">
        <f>+IF(LEN(T187)&gt;0,T187,"")</f>
        <v/>
      </c>
      <c r="BD187">
        <f>+U187</f>
        <v>0</v>
      </c>
      <c r="BE187">
        <f>+V187</f>
        <v>0</v>
      </c>
      <c r="BF187">
        <f>+VALUE(W187)</f>
        <v>0</v>
      </c>
      <c r="BG187">
        <f>+VALUE(X187)</f>
        <v>0</v>
      </c>
      <c r="BH187">
        <f>+VALUE(Y187)</f>
        <v>0</v>
      </c>
      <c r="BI187">
        <f>+VALUE(Z187)</f>
        <v>0</v>
      </c>
    </row>
    <row r="188" spans="20:61">
      <c r="T188" s="85"/>
      <c r="U188" s="85"/>
      <c r="V188" s="85"/>
      <c r="W188" s="85"/>
      <c r="X188" s="85"/>
      <c r="Y188" s="85"/>
      <c r="Z188" s="85"/>
      <c r="AA188" s="85"/>
      <c r="AB188" s="85"/>
      <c r="BC188" t="str">
        <f>+IF(LEN(T188)&gt;0,T188,"")</f>
        <v/>
      </c>
      <c r="BD188">
        <f>+U188</f>
        <v>0</v>
      </c>
      <c r="BE188">
        <f>+V188</f>
        <v>0</v>
      </c>
      <c r="BF188">
        <f>+VALUE(W188)</f>
        <v>0</v>
      </c>
      <c r="BG188">
        <f>+VALUE(X188)</f>
        <v>0</v>
      </c>
      <c r="BH188">
        <f>+VALUE(Y188)</f>
        <v>0</v>
      </c>
      <c r="BI188">
        <f>+VALUE(Z188)</f>
        <v>0</v>
      </c>
    </row>
    <row r="189" spans="20:61">
      <c r="T189" s="85"/>
      <c r="U189" s="85"/>
      <c r="V189" s="85"/>
      <c r="W189" s="85"/>
      <c r="X189" s="85"/>
      <c r="Y189" s="85"/>
      <c r="Z189" s="85"/>
      <c r="AA189" s="85"/>
      <c r="AB189" s="85"/>
      <c r="BC189" t="str">
        <f>+IF(LEN(T189)&gt;0,T189,"")</f>
        <v/>
      </c>
      <c r="BD189">
        <f>+U189</f>
        <v>0</v>
      </c>
      <c r="BE189">
        <f>+V189</f>
        <v>0</v>
      </c>
      <c r="BF189">
        <f>+VALUE(W189)</f>
        <v>0</v>
      </c>
      <c r="BG189">
        <f>+VALUE(X189)</f>
        <v>0</v>
      </c>
      <c r="BH189">
        <f>+VALUE(Y189)</f>
        <v>0</v>
      </c>
      <c r="BI189">
        <f>+VALUE(Z189)</f>
        <v>0</v>
      </c>
    </row>
    <row r="190" spans="20:61">
      <c r="T190" s="85"/>
      <c r="U190" s="85"/>
      <c r="V190" s="85"/>
      <c r="W190" s="85"/>
      <c r="X190" s="85"/>
      <c r="Y190" s="85"/>
      <c r="Z190" s="85"/>
      <c r="AA190" s="85"/>
      <c r="AB190" s="85"/>
      <c r="BC190" t="str">
        <f>+IF(LEN(T190)&gt;0,T190,"")</f>
        <v/>
      </c>
      <c r="BD190">
        <f>+U190</f>
        <v>0</v>
      </c>
      <c r="BE190">
        <f>+V190</f>
        <v>0</v>
      </c>
      <c r="BF190">
        <f>+VALUE(W190)</f>
        <v>0</v>
      </c>
      <c r="BG190">
        <f>+VALUE(X190)</f>
        <v>0</v>
      </c>
      <c r="BH190">
        <f>+VALUE(Y190)</f>
        <v>0</v>
      </c>
      <c r="BI190">
        <f>+VALUE(Z190)</f>
        <v>0</v>
      </c>
    </row>
    <row r="191" spans="20:61">
      <c r="T191" s="85"/>
      <c r="U191" s="85"/>
      <c r="V191" s="85"/>
      <c r="W191" s="85"/>
      <c r="X191" s="85"/>
      <c r="Y191" s="85"/>
      <c r="Z191" s="85"/>
      <c r="AA191" s="85"/>
      <c r="AB191" s="85"/>
      <c r="BC191" t="str">
        <f>+IF(LEN(T191)&gt;0,T191,"")</f>
        <v/>
      </c>
      <c r="BD191">
        <f>+U191</f>
        <v>0</v>
      </c>
      <c r="BE191">
        <f>+V191</f>
        <v>0</v>
      </c>
      <c r="BF191">
        <f>+VALUE(W191)</f>
        <v>0</v>
      </c>
      <c r="BG191">
        <f>+VALUE(X191)</f>
        <v>0</v>
      </c>
      <c r="BH191">
        <f>+VALUE(Y191)</f>
        <v>0</v>
      </c>
      <c r="BI191">
        <f>+VALUE(Z191)</f>
        <v>0</v>
      </c>
    </row>
    <row r="192" spans="20:61">
      <c r="T192" s="85"/>
      <c r="U192" s="85"/>
      <c r="V192" s="85"/>
      <c r="W192" s="85"/>
      <c r="X192" s="85"/>
      <c r="Y192" s="85"/>
      <c r="Z192" s="85"/>
      <c r="AA192" s="85"/>
      <c r="AB192" s="85"/>
      <c r="BC192" t="str">
        <f>+IF(LEN(T192)&gt;0,T192,"")</f>
        <v/>
      </c>
      <c r="BD192">
        <f>+U192</f>
        <v>0</v>
      </c>
      <c r="BE192">
        <f>+V192</f>
        <v>0</v>
      </c>
      <c r="BF192">
        <f>+VALUE(W192)</f>
        <v>0</v>
      </c>
      <c r="BG192">
        <f>+VALUE(X192)</f>
        <v>0</v>
      </c>
      <c r="BH192">
        <f>+VALUE(Y192)</f>
        <v>0</v>
      </c>
      <c r="BI192">
        <f>+VALUE(Z192)</f>
        <v>0</v>
      </c>
    </row>
    <row r="193" spans="20:61">
      <c r="T193" s="85"/>
      <c r="U193" s="85"/>
      <c r="V193" s="85"/>
      <c r="W193" s="85"/>
      <c r="X193" s="85"/>
      <c r="Y193" s="85"/>
      <c r="Z193" s="85"/>
      <c r="AA193" s="85"/>
      <c r="AB193" s="85"/>
      <c r="BC193" t="str">
        <f>+IF(LEN(T193)&gt;0,T193,"")</f>
        <v/>
      </c>
      <c r="BD193">
        <f>+U193</f>
        <v>0</v>
      </c>
      <c r="BE193">
        <f>+V193</f>
        <v>0</v>
      </c>
      <c r="BF193">
        <f>+VALUE(W193)</f>
        <v>0</v>
      </c>
      <c r="BG193">
        <f>+VALUE(X193)</f>
        <v>0</v>
      </c>
      <c r="BH193">
        <f>+VALUE(Y193)</f>
        <v>0</v>
      </c>
      <c r="BI193">
        <f>+VALUE(Z193)</f>
        <v>0</v>
      </c>
    </row>
    <row r="194" spans="20:61">
      <c r="T194" s="85"/>
      <c r="U194" s="85"/>
      <c r="V194" s="85"/>
      <c r="W194" s="85"/>
      <c r="X194" s="85"/>
      <c r="Y194" s="85"/>
      <c r="Z194" s="85"/>
      <c r="AA194" s="85"/>
      <c r="AB194" s="85"/>
      <c r="BC194" t="str">
        <f>+IF(LEN(T194)&gt;0,T194,"")</f>
        <v/>
      </c>
      <c r="BD194">
        <f>+U194</f>
        <v>0</v>
      </c>
      <c r="BE194">
        <f>+V194</f>
        <v>0</v>
      </c>
      <c r="BF194">
        <f>+VALUE(W194)</f>
        <v>0</v>
      </c>
      <c r="BG194">
        <f>+VALUE(X194)</f>
        <v>0</v>
      </c>
      <c r="BH194">
        <f>+VALUE(Y194)</f>
        <v>0</v>
      </c>
      <c r="BI194">
        <f>+VALUE(Z194)</f>
        <v>0</v>
      </c>
    </row>
    <row r="195" spans="20:61">
      <c r="T195" s="85"/>
      <c r="U195" s="85"/>
      <c r="V195" s="85"/>
      <c r="W195" s="85"/>
      <c r="X195" s="85"/>
      <c r="Y195" s="85"/>
      <c r="Z195" s="85"/>
      <c r="AA195" s="85"/>
      <c r="AB195" s="85"/>
      <c r="BC195" t="str">
        <f>+IF(LEN(T195)&gt;0,T195,"")</f>
        <v/>
      </c>
      <c r="BD195">
        <f>+U195</f>
        <v>0</v>
      </c>
      <c r="BE195">
        <f>+V195</f>
        <v>0</v>
      </c>
      <c r="BF195">
        <f>+VALUE(W195)</f>
        <v>0</v>
      </c>
      <c r="BG195">
        <f>+VALUE(X195)</f>
        <v>0</v>
      </c>
      <c r="BH195">
        <f>+VALUE(Y195)</f>
        <v>0</v>
      </c>
      <c r="BI195">
        <f>+VALUE(Z195)</f>
        <v>0</v>
      </c>
    </row>
    <row r="196" spans="20:61">
      <c r="T196" s="85"/>
      <c r="U196" s="85"/>
      <c r="V196" s="85"/>
      <c r="W196" s="85"/>
      <c r="X196" s="85"/>
      <c r="Y196" s="85"/>
      <c r="Z196" s="85"/>
      <c r="AA196" s="85"/>
      <c r="AB196" s="85"/>
      <c r="BC196" t="str">
        <f>+IF(LEN(T196)&gt;0,T196,"")</f>
        <v/>
      </c>
      <c r="BD196">
        <f>+U196</f>
        <v>0</v>
      </c>
      <c r="BE196">
        <f>+V196</f>
        <v>0</v>
      </c>
      <c r="BF196">
        <f>+VALUE(W196)</f>
        <v>0</v>
      </c>
      <c r="BG196">
        <f>+VALUE(X196)</f>
        <v>0</v>
      </c>
      <c r="BH196">
        <f>+VALUE(Y196)</f>
        <v>0</v>
      </c>
      <c r="BI196">
        <f>+VALUE(Z196)</f>
        <v>0</v>
      </c>
    </row>
    <row r="197" spans="20:61">
      <c r="T197" s="85"/>
      <c r="U197" s="85"/>
      <c r="V197" s="85"/>
      <c r="W197" s="85"/>
      <c r="X197" s="85"/>
      <c r="Y197" s="85"/>
      <c r="Z197" s="85"/>
      <c r="AA197" s="85"/>
      <c r="AB197" s="85"/>
      <c r="BC197" t="str">
        <f>+IF(LEN(T197)&gt;0,T197,"")</f>
        <v/>
      </c>
      <c r="BD197">
        <f>+U197</f>
        <v>0</v>
      </c>
      <c r="BE197">
        <f>+V197</f>
        <v>0</v>
      </c>
      <c r="BF197">
        <f>+VALUE(W197)</f>
        <v>0</v>
      </c>
      <c r="BG197">
        <f>+VALUE(X197)</f>
        <v>0</v>
      </c>
      <c r="BH197">
        <f>+VALUE(Y197)</f>
        <v>0</v>
      </c>
      <c r="BI197">
        <f>+VALUE(Z197)</f>
        <v>0</v>
      </c>
    </row>
    <row r="198" spans="20:61">
      <c r="T198" s="85"/>
      <c r="U198" s="85"/>
      <c r="V198" s="85"/>
      <c r="W198" s="85"/>
      <c r="X198" s="85"/>
      <c r="Y198" s="85"/>
      <c r="Z198" s="85"/>
      <c r="AA198" s="85"/>
      <c r="AB198" s="85"/>
      <c r="BC198" t="str">
        <f>+IF(LEN(T198)&gt;0,T198,"")</f>
        <v/>
      </c>
      <c r="BD198">
        <f>+U198</f>
        <v>0</v>
      </c>
      <c r="BE198">
        <f>+V198</f>
        <v>0</v>
      </c>
      <c r="BF198">
        <f>+VALUE(W198)</f>
        <v>0</v>
      </c>
      <c r="BG198">
        <f>+VALUE(X198)</f>
        <v>0</v>
      </c>
      <c r="BH198">
        <f>+VALUE(Y198)</f>
        <v>0</v>
      </c>
      <c r="BI198">
        <f>+VALUE(Z198)</f>
        <v>0</v>
      </c>
    </row>
    <row r="199" spans="20:61">
      <c r="T199" s="85"/>
      <c r="U199" s="85"/>
      <c r="V199" s="85"/>
      <c r="W199" s="85"/>
      <c r="X199" s="85"/>
      <c r="Y199" s="85"/>
      <c r="Z199" s="85"/>
      <c r="AA199" s="85"/>
      <c r="AB199" s="85"/>
      <c r="BC199" t="str">
        <f>+IF(LEN(T199)&gt;0,T199,"")</f>
        <v/>
      </c>
      <c r="BD199">
        <f>+U199</f>
        <v>0</v>
      </c>
      <c r="BE199">
        <f>+V199</f>
        <v>0</v>
      </c>
      <c r="BF199">
        <f>+VALUE(W199)</f>
        <v>0</v>
      </c>
      <c r="BG199">
        <f>+VALUE(X199)</f>
        <v>0</v>
      </c>
      <c r="BH199">
        <f>+VALUE(Y199)</f>
        <v>0</v>
      </c>
      <c r="BI199">
        <f>+VALUE(Z199)</f>
        <v>0</v>
      </c>
    </row>
    <row r="200" spans="20:61">
      <c r="T200" s="85"/>
      <c r="U200" s="85"/>
      <c r="V200" s="85"/>
      <c r="W200" s="85"/>
      <c r="X200" s="85"/>
      <c r="Y200" s="85"/>
      <c r="Z200" s="85"/>
      <c r="AA200" s="85"/>
      <c r="AB200" s="85"/>
      <c r="BC200" t="str">
        <f>+IF(LEN(T200)&gt;0,T200,"")</f>
        <v/>
      </c>
      <c r="BD200">
        <f>+U200</f>
        <v>0</v>
      </c>
      <c r="BE200">
        <f>+V200</f>
        <v>0</v>
      </c>
      <c r="BF200">
        <f>+VALUE(W200)</f>
        <v>0</v>
      </c>
      <c r="BG200">
        <f>+VALUE(X200)</f>
        <v>0</v>
      </c>
      <c r="BH200">
        <f>+VALUE(Y200)</f>
        <v>0</v>
      </c>
      <c r="BI200">
        <f>+VALUE(Z200)</f>
        <v>0</v>
      </c>
    </row>
    <row r="201" spans="20:61">
      <c r="T201" s="85"/>
      <c r="U201" s="85"/>
      <c r="V201" s="85"/>
      <c r="W201" s="85"/>
      <c r="X201" s="85"/>
      <c r="Y201" s="85"/>
      <c r="Z201" s="85"/>
      <c r="AA201" s="85"/>
      <c r="AB201" s="85"/>
      <c r="BC201" t="str">
        <f>+IF(LEN(T201)&gt;0,T201,"")</f>
        <v/>
      </c>
      <c r="BD201">
        <f>+U201</f>
        <v>0</v>
      </c>
      <c r="BE201">
        <f>+V201</f>
        <v>0</v>
      </c>
      <c r="BF201">
        <f>+VALUE(W201)</f>
        <v>0</v>
      </c>
      <c r="BG201">
        <f>+VALUE(X201)</f>
        <v>0</v>
      </c>
      <c r="BH201">
        <f>+VALUE(Y201)</f>
        <v>0</v>
      </c>
      <c r="BI201">
        <f>+VALUE(Z201)</f>
        <v>0</v>
      </c>
    </row>
    <row r="202" spans="20:61">
      <c r="T202" s="85"/>
      <c r="U202" s="85"/>
      <c r="V202" s="85"/>
      <c r="W202" s="85"/>
      <c r="X202" s="85"/>
      <c r="Y202" s="85"/>
      <c r="Z202" s="85"/>
      <c r="AA202" s="85"/>
      <c r="AB202" s="85"/>
      <c r="BC202" t="str">
        <f>+IF(LEN(T202)&gt;0,T202,"")</f>
        <v/>
      </c>
      <c r="BD202">
        <f>+U202</f>
        <v>0</v>
      </c>
      <c r="BE202">
        <f>+V202</f>
        <v>0</v>
      </c>
      <c r="BF202">
        <f>+VALUE(W202)</f>
        <v>0</v>
      </c>
      <c r="BG202">
        <f>+VALUE(X202)</f>
        <v>0</v>
      </c>
      <c r="BH202">
        <f>+VALUE(Y202)</f>
        <v>0</v>
      </c>
      <c r="BI202">
        <f>+VALUE(Z202)</f>
        <v>0</v>
      </c>
    </row>
    <row r="203" spans="20:61">
      <c r="T203" s="85"/>
      <c r="U203" s="85"/>
      <c r="V203" s="85"/>
      <c r="W203" s="85"/>
      <c r="X203" s="85"/>
      <c r="Y203" s="85"/>
      <c r="Z203" s="85"/>
      <c r="AA203" s="85"/>
      <c r="AB203" s="85"/>
      <c r="BC203" t="str">
        <f>+IF(LEN(T203)&gt;0,T203,"")</f>
        <v/>
      </c>
      <c r="BD203">
        <f>+U203</f>
        <v>0</v>
      </c>
      <c r="BE203">
        <f>+V203</f>
        <v>0</v>
      </c>
      <c r="BF203">
        <f>+VALUE(W203)</f>
        <v>0</v>
      </c>
      <c r="BG203">
        <f>+VALUE(X203)</f>
        <v>0</v>
      </c>
      <c r="BH203">
        <f>+VALUE(Y203)</f>
        <v>0</v>
      </c>
      <c r="BI203">
        <f>+VALUE(Z203)</f>
        <v>0</v>
      </c>
    </row>
    <row r="204" spans="20:61">
      <c r="T204" s="85"/>
      <c r="U204" s="85"/>
      <c r="V204" s="85"/>
      <c r="W204" s="85"/>
      <c r="X204" s="85"/>
      <c r="Y204" s="85"/>
      <c r="Z204" s="85"/>
      <c r="AA204" s="85"/>
      <c r="AB204" s="85"/>
      <c r="BC204" t="str">
        <f>+IF(LEN(T204)&gt;0,T204,"")</f>
        <v/>
      </c>
      <c r="BD204">
        <f>+U204</f>
        <v>0</v>
      </c>
      <c r="BE204">
        <f>+V204</f>
        <v>0</v>
      </c>
      <c r="BF204">
        <f>+VALUE(W204)</f>
        <v>0</v>
      </c>
      <c r="BG204">
        <f>+VALUE(X204)</f>
        <v>0</v>
      </c>
      <c r="BH204">
        <f>+VALUE(Y204)</f>
        <v>0</v>
      </c>
      <c r="BI204">
        <f>+VALUE(Z204)</f>
        <v>0</v>
      </c>
    </row>
    <row r="205" spans="20:61">
      <c r="T205" s="85"/>
      <c r="U205" s="85"/>
      <c r="V205" s="85"/>
      <c r="W205" s="85"/>
      <c r="X205" s="85"/>
      <c r="Y205" s="85"/>
      <c r="Z205" s="85"/>
      <c r="AA205" s="85"/>
      <c r="AB205" s="85"/>
      <c r="BC205" t="str">
        <f>+IF(LEN(T205)&gt;0,T205,"")</f>
        <v/>
      </c>
      <c r="BD205">
        <f>+U205</f>
        <v>0</v>
      </c>
      <c r="BE205">
        <f>+V205</f>
        <v>0</v>
      </c>
      <c r="BF205">
        <f>+VALUE(W205)</f>
        <v>0</v>
      </c>
      <c r="BG205">
        <f>+VALUE(X205)</f>
        <v>0</v>
      </c>
      <c r="BH205">
        <f>+VALUE(Y205)</f>
        <v>0</v>
      </c>
      <c r="BI205">
        <f>+VALUE(Z205)</f>
        <v>0</v>
      </c>
    </row>
    <row r="206" spans="20:61">
      <c r="T206" s="85"/>
      <c r="U206" s="85"/>
      <c r="V206" s="85"/>
      <c r="W206" s="85"/>
      <c r="X206" s="85"/>
      <c r="Y206" s="85"/>
      <c r="Z206" s="85"/>
      <c r="AA206" s="85"/>
      <c r="AB206" s="85"/>
      <c r="BC206" t="str">
        <f>+IF(LEN(T206)&gt;0,T206,"")</f>
        <v/>
      </c>
      <c r="BD206">
        <f>+U206</f>
        <v>0</v>
      </c>
      <c r="BE206">
        <f>+V206</f>
        <v>0</v>
      </c>
      <c r="BF206">
        <f>+VALUE(W206)</f>
        <v>0</v>
      </c>
      <c r="BG206">
        <f>+VALUE(X206)</f>
        <v>0</v>
      </c>
      <c r="BH206">
        <f>+VALUE(Y206)</f>
        <v>0</v>
      </c>
      <c r="BI206">
        <f>+VALUE(Z206)</f>
        <v>0</v>
      </c>
    </row>
    <row r="207" spans="20:61">
      <c r="T207" s="85"/>
      <c r="U207" s="85"/>
      <c r="V207" s="85"/>
      <c r="W207" s="85"/>
      <c r="X207" s="85"/>
      <c r="Y207" s="85"/>
      <c r="Z207" s="85"/>
      <c r="AA207" s="85"/>
      <c r="AB207" s="85"/>
      <c r="BC207" t="str">
        <f>+IF(LEN(T207)&gt;0,T207,"")</f>
        <v/>
      </c>
      <c r="BD207">
        <f>+U207</f>
        <v>0</v>
      </c>
      <c r="BE207">
        <f>+V207</f>
        <v>0</v>
      </c>
      <c r="BF207">
        <f>+VALUE(W207)</f>
        <v>0</v>
      </c>
      <c r="BG207">
        <f>+VALUE(X207)</f>
        <v>0</v>
      </c>
      <c r="BH207">
        <f>+VALUE(Y207)</f>
        <v>0</v>
      </c>
      <c r="BI207">
        <f>+VALUE(Z207)</f>
        <v>0</v>
      </c>
    </row>
    <row r="208" spans="20:61">
      <c r="T208" s="85"/>
      <c r="U208" s="85"/>
      <c r="V208" s="85"/>
      <c r="W208" s="85"/>
      <c r="X208" s="85"/>
      <c r="Y208" s="85"/>
      <c r="Z208" s="85"/>
      <c r="AA208" s="85"/>
      <c r="AB208" s="85"/>
      <c r="BC208" t="str">
        <f>+IF(LEN(T208)&gt;0,T208,"")</f>
        <v/>
      </c>
      <c r="BD208">
        <f>+U208</f>
        <v>0</v>
      </c>
      <c r="BE208">
        <f>+V208</f>
        <v>0</v>
      </c>
      <c r="BF208">
        <f>+VALUE(W208)</f>
        <v>0</v>
      </c>
      <c r="BG208">
        <f>+VALUE(X208)</f>
        <v>0</v>
      </c>
      <c r="BH208">
        <f>+VALUE(Y208)</f>
        <v>0</v>
      </c>
      <c r="BI208">
        <f>+VALUE(Z208)</f>
        <v>0</v>
      </c>
    </row>
    <row r="209" spans="20:61">
      <c r="T209" s="85"/>
      <c r="U209" s="85"/>
      <c r="V209" s="85"/>
      <c r="W209" s="85"/>
      <c r="X209" s="85"/>
      <c r="Y209" s="85"/>
      <c r="Z209" s="85"/>
      <c r="AA209" s="85"/>
      <c r="AB209" s="85"/>
      <c r="BC209" t="str">
        <f>+IF(LEN(T209)&gt;0,T209,"")</f>
        <v/>
      </c>
      <c r="BD209">
        <f>+U209</f>
        <v>0</v>
      </c>
      <c r="BE209">
        <f>+V209</f>
        <v>0</v>
      </c>
      <c r="BF209">
        <f>+VALUE(W209)</f>
        <v>0</v>
      </c>
      <c r="BG209">
        <f>+VALUE(X209)</f>
        <v>0</v>
      </c>
      <c r="BH209">
        <f>+VALUE(Y209)</f>
        <v>0</v>
      </c>
      <c r="BI209">
        <f>+VALUE(Z209)</f>
        <v>0</v>
      </c>
    </row>
    <row r="210" spans="20:61">
      <c r="T210" s="85"/>
      <c r="U210" s="85"/>
      <c r="V210" s="85"/>
      <c r="W210" s="85"/>
      <c r="X210" s="85"/>
      <c r="Y210" s="85"/>
      <c r="Z210" s="85"/>
      <c r="AA210" s="85"/>
      <c r="AB210" s="85"/>
      <c r="BC210" t="str">
        <f>+IF(LEN(T210)&gt;0,T210,"")</f>
        <v/>
      </c>
      <c r="BD210">
        <f>+U210</f>
        <v>0</v>
      </c>
      <c r="BE210">
        <f>+V210</f>
        <v>0</v>
      </c>
      <c r="BF210">
        <f>+VALUE(W210)</f>
        <v>0</v>
      </c>
      <c r="BG210">
        <f>+VALUE(X210)</f>
        <v>0</v>
      </c>
      <c r="BH210">
        <f>+VALUE(Y210)</f>
        <v>0</v>
      </c>
      <c r="BI210">
        <f>+VALUE(Z210)</f>
        <v>0</v>
      </c>
    </row>
    <row r="211" spans="20:61">
      <c r="T211" s="85"/>
      <c r="U211" s="85"/>
      <c r="V211" s="85"/>
      <c r="W211" s="85"/>
      <c r="X211" s="85"/>
      <c r="Y211" s="85"/>
      <c r="Z211" s="85"/>
      <c r="AA211" s="85"/>
      <c r="AB211" s="85"/>
      <c r="BC211" t="str">
        <f>+IF(LEN(T211)&gt;0,T211,"")</f>
        <v/>
      </c>
      <c r="BD211">
        <f>+U211</f>
        <v>0</v>
      </c>
      <c r="BE211">
        <f>+V211</f>
        <v>0</v>
      </c>
      <c r="BF211">
        <f>+VALUE(W211)</f>
        <v>0</v>
      </c>
      <c r="BG211">
        <f>+VALUE(X211)</f>
        <v>0</v>
      </c>
      <c r="BH211">
        <f>+VALUE(Y211)</f>
        <v>0</v>
      </c>
      <c r="BI211">
        <f>+VALUE(Z211)</f>
        <v>0</v>
      </c>
    </row>
    <row r="212" spans="20:61">
      <c r="T212" s="85"/>
      <c r="U212" s="85"/>
      <c r="V212" s="85"/>
      <c r="W212" s="85"/>
      <c r="X212" s="85"/>
      <c r="Y212" s="85"/>
      <c r="Z212" s="85"/>
      <c r="AA212" s="85"/>
      <c r="AB212" s="85"/>
      <c r="BC212" t="str">
        <f>+IF(LEN(T212)&gt;0,T212,"")</f>
        <v/>
      </c>
      <c r="BD212">
        <f>+U212</f>
        <v>0</v>
      </c>
      <c r="BE212">
        <f>+V212</f>
        <v>0</v>
      </c>
      <c r="BF212">
        <f>+VALUE(W212)</f>
        <v>0</v>
      </c>
      <c r="BG212">
        <f>+VALUE(X212)</f>
        <v>0</v>
      </c>
      <c r="BH212">
        <f>+VALUE(Y212)</f>
        <v>0</v>
      </c>
      <c r="BI212">
        <f>+VALUE(Z212)</f>
        <v>0</v>
      </c>
    </row>
    <row r="213" spans="20:61">
      <c r="T213" s="85"/>
      <c r="U213" s="85"/>
      <c r="V213" s="85"/>
      <c r="W213" s="85"/>
      <c r="X213" s="85"/>
      <c r="Y213" s="85"/>
      <c r="Z213" s="85"/>
      <c r="AA213" s="85"/>
      <c r="AB213" s="85"/>
      <c r="BC213" t="str">
        <f>+IF(LEN(T213)&gt;0,T213,"")</f>
        <v/>
      </c>
      <c r="BD213">
        <f>+U213</f>
        <v>0</v>
      </c>
      <c r="BE213">
        <f>+V213</f>
        <v>0</v>
      </c>
      <c r="BF213">
        <f>+VALUE(W213)</f>
        <v>0</v>
      </c>
      <c r="BG213">
        <f>+VALUE(X213)</f>
        <v>0</v>
      </c>
      <c r="BH213">
        <f>+VALUE(Y213)</f>
        <v>0</v>
      </c>
      <c r="BI213">
        <f>+VALUE(Z213)</f>
        <v>0</v>
      </c>
    </row>
    <row r="214" spans="20:61">
      <c r="T214" s="85"/>
      <c r="U214" s="85"/>
      <c r="V214" s="85"/>
      <c r="W214" s="85"/>
      <c r="X214" s="85"/>
      <c r="Y214" s="85"/>
      <c r="Z214" s="85"/>
      <c r="AA214" s="85"/>
      <c r="AB214" s="85"/>
      <c r="BC214" t="str">
        <f>+IF(LEN(T214)&gt;0,T214,"")</f>
        <v/>
      </c>
      <c r="BD214">
        <f>+U214</f>
        <v>0</v>
      </c>
      <c r="BE214">
        <f>+V214</f>
        <v>0</v>
      </c>
      <c r="BF214">
        <f>+VALUE(W214)</f>
        <v>0</v>
      </c>
      <c r="BG214">
        <f>+VALUE(X214)</f>
        <v>0</v>
      </c>
      <c r="BH214">
        <f>+VALUE(Y214)</f>
        <v>0</v>
      </c>
      <c r="BI214">
        <f>+VALUE(Z214)</f>
        <v>0</v>
      </c>
    </row>
    <row r="215" spans="20:61">
      <c r="T215" s="85"/>
      <c r="U215" s="85"/>
      <c r="V215" s="85"/>
      <c r="W215" s="85"/>
      <c r="X215" s="85"/>
      <c r="Y215" s="85"/>
      <c r="Z215" s="85"/>
      <c r="AA215" s="85"/>
      <c r="AB215" s="85"/>
      <c r="BC215" t="str">
        <f>+IF(LEN(T215)&gt;0,T215,"")</f>
        <v/>
      </c>
      <c r="BD215">
        <f>+U215</f>
        <v>0</v>
      </c>
      <c r="BE215">
        <f>+V215</f>
        <v>0</v>
      </c>
      <c r="BF215">
        <f>+VALUE(W215)</f>
        <v>0</v>
      </c>
      <c r="BG215">
        <f>+VALUE(X215)</f>
        <v>0</v>
      </c>
      <c r="BH215">
        <f>+VALUE(Y215)</f>
        <v>0</v>
      </c>
      <c r="BI215">
        <f>+VALUE(Z215)</f>
        <v>0</v>
      </c>
    </row>
    <row r="216" spans="20:61">
      <c r="T216" s="85"/>
      <c r="U216" s="85"/>
      <c r="V216" s="85"/>
      <c r="W216" s="85"/>
      <c r="X216" s="85"/>
      <c r="Y216" s="85"/>
      <c r="Z216" s="85"/>
      <c r="AA216" s="85"/>
      <c r="AB216" s="85"/>
      <c r="BC216" t="str">
        <f>+IF(LEN(T216)&gt;0,T216,"")</f>
        <v/>
      </c>
      <c r="BD216">
        <f>+U216</f>
        <v>0</v>
      </c>
      <c r="BE216">
        <f>+V216</f>
        <v>0</v>
      </c>
      <c r="BF216">
        <f>+VALUE(W216)</f>
        <v>0</v>
      </c>
      <c r="BG216">
        <f>+VALUE(X216)</f>
        <v>0</v>
      </c>
      <c r="BH216">
        <f>+VALUE(Y216)</f>
        <v>0</v>
      </c>
      <c r="BI216">
        <f>+VALUE(Z216)</f>
        <v>0</v>
      </c>
    </row>
    <row r="217" spans="20:61">
      <c r="T217" s="85"/>
      <c r="U217" s="85"/>
      <c r="V217" s="85"/>
      <c r="W217" s="85"/>
      <c r="X217" s="85"/>
      <c r="Y217" s="85"/>
      <c r="Z217" s="85"/>
      <c r="AA217" s="85"/>
      <c r="AB217" s="85"/>
      <c r="BC217" t="str">
        <f>+IF(LEN(T217)&gt;0,T217,"")</f>
        <v/>
      </c>
      <c r="BD217">
        <f>+U217</f>
        <v>0</v>
      </c>
      <c r="BE217">
        <f>+V217</f>
        <v>0</v>
      </c>
      <c r="BF217">
        <f>+VALUE(W217)</f>
        <v>0</v>
      </c>
      <c r="BG217">
        <f>+VALUE(X217)</f>
        <v>0</v>
      </c>
      <c r="BH217">
        <f>+VALUE(Y217)</f>
        <v>0</v>
      </c>
      <c r="BI217">
        <f>+VALUE(Z217)</f>
        <v>0</v>
      </c>
    </row>
    <row r="218" spans="20:61">
      <c r="T218" s="85"/>
      <c r="U218" s="85"/>
      <c r="V218" s="85"/>
      <c r="W218" s="85"/>
      <c r="X218" s="85"/>
      <c r="Y218" s="85"/>
      <c r="Z218" s="85"/>
      <c r="AA218" s="85"/>
      <c r="AB218" s="85"/>
      <c r="BC218" t="str">
        <f>+IF(LEN(T218)&gt;0,T218,"")</f>
        <v/>
      </c>
      <c r="BD218">
        <f>+U218</f>
        <v>0</v>
      </c>
      <c r="BE218">
        <f>+V218</f>
        <v>0</v>
      </c>
      <c r="BF218">
        <f>+VALUE(W218)</f>
        <v>0</v>
      </c>
      <c r="BG218">
        <f>+VALUE(X218)</f>
        <v>0</v>
      </c>
      <c r="BH218">
        <f>+VALUE(Y218)</f>
        <v>0</v>
      </c>
      <c r="BI218">
        <f>+VALUE(Z218)</f>
        <v>0</v>
      </c>
    </row>
    <row r="219" spans="20:61">
      <c r="T219" s="85"/>
      <c r="U219" s="85"/>
      <c r="V219" s="85"/>
      <c r="W219" s="85"/>
      <c r="X219" s="85"/>
      <c r="Y219" s="85"/>
      <c r="Z219" s="85"/>
      <c r="AA219" s="85"/>
      <c r="AB219" s="85"/>
      <c r="BC219" t="str">
        <f>+IF(LEN(T219)&gt;0,T219,"")</f>
        <v/>
      </c>
      <c r="BD219">
        <f>+U219</f>
        <v>0</v>
      </c>
      <c r="BE219">
        <f>+V219</f>
        <v>0</v>
      </c>
      <c r="BF219">
        <f>+VALUE(W219)</f>
        <v>0</v>
      </c>
      <c r="BG219">
        <f>+VALUE(X219)</f>
        <v>0</v>
      </c>
      <c r="BH219">
        <f>+VALUE(Y219)</f>
        <v>0</v>
      </c>
      <c r="BI219">
        <f>+VALUE(Z219)</f>
        <v>0</v>
      </c>
    </row>
    <row r="220" spans="20:61">
      <c r="T220" s="85"/>
      <c r="U220" s="85"/>
      <c r="V220" s="85"/>
      <c r="W220" s="85"/>
      <c r="X220" s="85"/>
      <c r="Y220" s="85"/>
      <c r="Z220" s="85"/>
      <c r="AA220" s="85"/>
      <c r="AB220" s="85"/>
      <c r="BC220" t="str">
        <f>+IF(LEN(T220)&gt;0,T220,"")</f>
        <v/>
      </c>
      <c r="BD220">
        <f>+U220</f>
        <v>0</v>
      </c>
      <c r="BE220">
        <f>+V220</f>
        <v>0</v>
      </c>
      <c r="BF220">
        <f>+VALUE(W220)</f>
        <v>0</v>
      </c>
      <c r="BG220">
        <f>+VALUE(X220)</f>
        <v>0</v>
      </c>
      <c r="BH220">
        <f>+VALUE(Y220)</f>
        <v>0</v>
      </c>
      <c r="BI220">
        <f>+VALUE(Z220)</f>
        <v>0</v>
      </c>
    </row>
    <row r="221" spans="20:61">
      <c r="T221" s="85"/>
      <c r="U221" s="85"/>
      <c r="V221" s="85"/>
      <c r="W221" s="85"/>
      <c r="X221" s="85"/>
      <c r="Y221" s="85"/>
      <c r="Z221" s="85"/>
      <c r="AA221" s="85"/>
      <c r="AB221" s="85"/>
      <c r="BC221" t="str">
        <f>+IF(LEN(T221)&gt;0,T221,"")</f>
        <v/>
      </c>
      <c r="BD221">
        <f>+U221</f>
        <v>0</v>
      </c>
      <c r="BE221">
        <f>+V221</f>
        <v>0</v>
      </c>
      <c r="BF221">
        <f>+VALUE(W221)</f>
        <v>0</v>
      </c>
      <c r="BG221">
        <f>+VALUE(X221)</f>
        <v>0</v>
      </c>
      <c r="BH221">
        <f>+VALUE(Y221)</f>
        <v>0</v>
      </c>
      <c r="BI221">
        <f>+VALUE(Z221)</f>
        <v>0</v>
      </c>
    </row>
    <row r="222" spans="20:61">
      <c r="T222" s="85"/>
      <c r="U222" s="85"/>
      <c r="V222" s="85"/>
      <c r="W222" s="85"/>
      <c r="X222" s="85"/>
      <c r="Y222" s="85"/>
      <c r="Z222" s="85"/>
      <c r="AA222" s="85"/>
      <c r="AB222" s="85"/>
      <c r="BC222" t="str">
        <f>+IF(LEN(T222)&gt;0,T222,"")</f>
        <v/>
      </c>
      <c r="BD222">
        <f>+U222</f>
        <v>0</v>
      </c>
      <c r="BE222">
        <f>+V222</f>
        <v>0</v>
      </c>
      <c r="BF222">
        <f>+VALUE(W222)</f>
        <v>0</v>
      </c>
      <c r="BG222">
        <f>+VALUE(X222)</f>
        <v>0</v>
      </c>
      <c r="BH222">
        <f>+VALUE(Y222)</f>
        <v>0</v>
      </c>
      <c r="BI222">
        <f>+VALUE(Z222)</f>
        <v>0</v>
      </c>
    </row>
    <row r="223" spans="20:61">
      <c r="T223" s="85"/>
      <c r="U223" s="85"/>
      <c r="V223" s="85"/>
      <c r="W223" s="85"/>
      <c r="X223" s="85"/>
      <c r="Y223" s="85"/>
      <c r="Z223" s="85"/>
      <c r="AA223" s="85"/>
      <c r="AB223" s="85"/>
      <c r="BC223" t="str">
        <f>+IF(LEN(T223)&gt;0,T223,"")</f>
        <v/>
      </c>
      <c r="BD223">
        <f>+U223</f>
        <v>0</v>
      </c>
      <c r="BE223">
        <f>+V223</f>
        <v>0</v>
      </c>
      <c r="BF223">
        <f>+VALUE(W223)</f>
        <v>0</v>
      </c>
      <c r="BG223">
        <f>+VALUE(X223)</f>
        <v>0</v>
      </c>
      <c r="BH223">
        <f>+VALUE(Y223)</f>
        <v>0</v>
      </c>
      <c r="BI223">
        <f>+VALUE(Z223)</f>
        <v>0</v>
      </c>
    </row>
    <row r="224" spans="20:61">
      <c r="T224" s="85"/>
      <c r="U224" s="85"/>
      <c r="V224" s="85"/>
      <c r="W224" s="85"/>
      <c r="X224" s="85"/>
      <c r="Y224" s="85"/>
      <c r="Z224" s="85"/>
      <c r="AA224" s="85"/>
      <c r="AB224" s="85"/>
      <c r="BC224" t="str">
        <f>+IF(LEN(T224)&gt;0,T224,"")</f>
        <v/>
      </c>
      <c r="BD224">
        <f>+U224</f>
        <v>0</v>
      </c>
      <c r="BE224">
        <f>+V224</f>
        <v>0</v>
      </c>
      <c r="BF224">
        <f>+VALUE(W224)</f>
        <v>0</v>
      </c>
      <c r="BG224">
        <f>+VALUE(X224)</f>
        <v>0</v>
      </c>
      <c r="BH224">
        <f>+VALUE(Y224)</f>
        <v>0</v>
      </c>
      <c r="BI224">
        <f>+VALUE(Z224)</f>
        <v>0</v>
      </c>
    </row>
    <row r="225" spans="20:61">
      <c r="T225" s="85"/>
      <c r="U225" s="85"/>
      <c r="V225" s="85"/>
      <c r="W225" s="85"/>
      <c r="X225" s="85"/>
      <c r="Y225" s="85"/>
      <c r="Z225" s="85"/>
      <c r="AA225" s="85"/>
      <c r="AB225" s="85"/>
      <c r="BC225" t="str">
        <f>+IF(LEN(T225)&gt;0,T225,"")</f>
        <v/>
      </c>
      <c r="BD225">
        <f>+U225</f>
        <v>0</v>
      </c>
      <c r="BE225">
        <f>+V225</f>
        <v>0</v>
      </c>
      <c r="BF225">
        <f>+VALUE(W225)</f>
        <v>0</v>
      </c>
      <c r="BG225">
        <f>+VALUE(X225)</f>
        <v>0</v>
      </c>
      <c r="BH225">
        <f>+VALUE(Y225)</f>
        <v>0</v>
      </c>
      <c r="BI225">
        <f>+VALUE(Z225)</f>
        <v>0</v>
      </c>
    </row>
    <row r="226" spans="20:61">
      <c r="T226" s="85"/>
      <c r="U226" s="85"/>
      <c r="V226" s="85"/>
      <c r="W226" s="85"/>
      <c r="X226" s="85"/>
      <c r="Y226" s="85"/>
      <c r="Z226" s="85"/>
      <c r="AA226" s="85"/>
      <c r="AB226" s="85"/>
      <c r="BC226" t="str">
        <f>+IF(LEN(T226)&gt;0,T226,"")</f>
        <v/>
      </c>
      <c r="BD226">
        <f>+U226</f>
        <v>0</v>
      </c>
      <c r="BE226">
        <f>+V226</f>
        <v>0</v>
      </c>
      <c r="BF226">
        <f>+VALUE(W226)</f>
        <v>0</v>
      </c>
      <c r="BG226">
        <f>+VALUE(X226)</f>
        <v>0</v>
      </c>
      <c r="BH226">
        <f>+VALUE(Y226)</f>
        <v>0</v>
      </c>
      <c r="BI226">
        <f>+VALUE(Z226)</f>
        <v>0</v>
      </c>
    </row>
    <row r="227" spans="20:61">
      <c r="T227" s="85"/>
      <c r="U227" s="85"/>
      <c r="V227" s="85"/>
      <c r="W227" s="85"/>
      <c r="X227" s="85"/>
      <c r="Y227" s="85"/>
      <c r="Z227" s="85"/>
      <c r="AA227" s="85"/>
      <c r="AB227" s="85"/>
      <c r="BC227" t="str">
        <f>+IF(LEN(T227)&gt;0,T227,"")</f>
        <v/>
      </c>
      <c r="BD227">
        <f>+U227</f>
        <v>0</v>
      </c>
      <c r="BE227">
        <f>+V227</f>
        <v>0</v>
      </c>
      <c r="BF227">
        <f>+VALUE(W227)</f>
        <v>0</v>
      </c>
      <c r="BG227">
        <f>+VALUE(X227)</f>
        <v>0</v>
      </c>
      <c r="BH227">
        <f>+VALUE(Y227)</f>
        <v>0</v>
      </c>
      <c r="BI227">
        <f>+VALUE(Z227)</f>
        <v>0</v>
      </c>
    </row>
    <row r="228" spans="20:61">
      <c r="T228" s="85"/>
      <c r="U228" s="85"/>
      <c r="V228" s="85"/>
      <c r="W228" s="85"/>
      <c r="X228" s="85"/>
      <c r="Y228" s="85"/>
      <c r="Z228" s="85"/>
      <c r="AA228" s="85"/>
      <c r="AB228" s="85"/>
      <c r="BC228" t="str">
        <f>+IF(LEN(T228)&gt;0,T228,"")</f>
        <v/>
      </c>
      <c r="BD228">
        <f>+U228</f>
        <v>0</v>
      </c>
      <c r="BE228">
        <f>+V228</f>
        <v>0</v>
      </c>
      <c r="BF228">
        <f>+VALUE(W228)</f>
        <v>0</v>
      </c>
      <c r="BG228">
        <f>+VALUE(X228)</f>
        <v>0</v>
      </c>
      <c r="BH228">
        <f>+VALUE(Y228)</f>
        <v>0</v>
      </c>
      <c r="BI228">
        <f>+VALUE(Z228)</f>
        <v>0</v>
      </c>
    </row>
    <row r="229" spans="20:61">
      <c r="T229" s="85"/>
      <c r="U229" s="85"/>
      <c r="V229" s="85"/>
      <c r="W229" s="85"/>
      <c r="X229" s="85"/>
      <c r="Y229" s="85"/>
      <c r="Z229" s="85"/>
      <c r="AA229" s="85"/>
      <c r="AB229" s="85"/>
      <c r="BC229" t="str">
        <f>+IF(LEN(T229)&gt;0,T229,"")</f>
        <v/>
      </c>
      <c r="BD229">
        <f>+U229</f>
        <v>0</v>
      </c>
      <c r="BE229">
        <f>+V229</f>
        <v>0</v>
      </c>
      <c r="BF229">
        <f>+VALUE(W229)</f>
        <v>0</v>
      </c>
      <c r="BG229">
        <f>+VALUE(X229)</f>
        <v>0</v>
      </c>
      <c r="BH229">
        <f>+VALUE(Y229)</f>
        <v>0</v>
      </c>
      <c r="BI229">
        <f>+VALUE(Z229)</f>
        <v>0</v>
      </c>
    </row>
    <row r="230" spans="20:61">
      <c r="T230" s="85"/>
      <c r="U230" s="85"/>
      <c r="V230" s="85"/>
      <c r="W230" s="85"/>
      <c r="X230" s="85"/>
      <c r="Y230" s="85"/>
      <c r="Z230" s="85"/>
      <c r="AA230" s="85"/>
      <c r="AB230" s="85"/>
      <c r="BC230" t="str">
        <f>+IF(LEN(T230)&gt;0,T230,"")</f>
        <v/>
      </c>
      <c r="BD230">
        <f>+U230</f>
        <v>0</v>
      </c>
      <c r="BE230">
        <f>+V230</f>
        <v>0</v>
      </c>
      <c r="BF230">
        <f>+VALUE(W230)</f>
        <v>0</v>
      </c>
      <c r="BG230">
        <f>+VALUE(X230)</f>
        <v>0</v>
      </c>
      <c r="BH230">
        <f>+VALUE(Y230)</f>
        <v>0</v>
      </c>
      <c r="BI230">
        <f>+VALUE(Z230)</f>
        <v>0</v>
      </c>
    </row>
    <row r="231" spans="20:61">
      <c r="T231" s="85"/>
      <c r="U231" s="85"/>
      <c r="V231" s="85"/>
      <c r="W231" s="85"/>
      <c r="X231" s="85"/>
      <c r="Y231" s="85"/>
      <c r="Z231" s="85"/>
      <c r="AA231" s="85"/>
      <c r="AB231" s="85"/>
      <c r="BC231" t="str">
        <f>+IF(LEN(T231)&gt;0,T231,"")</f>
        <v/>
      </c>
      <c r="BD231">
        <f>+U231</f>
        <v>0</v>
      </c>
      <c r="BE231">
        <f>+V231</f>
        <v>0</v>
      </c>
      <c r="BF231">
        <f>+VALUE(W231)</f>
        <v>0</v>
      </c>
      <c r="BG231">
        <f>+VALUE(X231)</f>
        <v>0</v>
      </c>
      <c r="BH231">
        <f>+VALUE(Y231)</f>
        <v>0</v>
      </c>
      <c r="BI231">
        <f>+VALUE(Z231)</f>
        <v>0</v>
      </c>
    </row>
    <row r="232" spans="20:61">
      <c r="T232" s="85"/>
      <c r="U232" s="85"/>
      <c r="V232" s="85"/>
      <c r="W232" s="85"/>
      <c r="X232" s="85"/>
      <c r="Y232" s="85"/>
      <c r="Z232" s="85"/>
      <c r="AA232" s="85"/>
      <c r="AB232" s="85"/>
      <c r="BC232" t="str">
        <f>+IF(LEN(T232)&gt;0,T232,"")</f>
        <v/>
      </c>
      <c r="BD232">
        <f>+U232</f>
        <v>0</v>
      </c>
      <c r="BE232">
        <f>+V232</f>
        <v>0</v>
      </c>
      <c r="BF232">
        <f>+VALUE(W232)</f>
        <v>0</v>
      </c>
      <c r="BG232">
        <f>+VALUE(X232)</f>
        <v>0</v>
      </c>
      <c r="BH232">
        <f>+VALUE(Y232)</f>
        <v>0</v>
      </c>
      <c r="BI232">
        <f>+VALUE(Z232)</f>
        <v>0</v>
      </c>
    </row>
    <row r="233" spans="20:61">
      <c r="T233" s="85"/>
      <c r="U233" s="85"/>
      <c r="V233" s="85"/>
      <c r="W233" s="85"/>
      <c r="X233" s="85"/>
      <c r="Y233" s="85"/>
      <c r="Z233" s="85"/>
      <c r="AA233" s="85"/>
      <c r="AB233" s="85"/>
      <c r="BC233" t="str">
        <f>+IF(LEN(T233)&gt;0,T233,"")</f>
        <v/>
      </c>
      <c r="BD233">
        <f>+U233</f>
        <v>0</v>
      </c>
      <c r="BE233">
        <f>+V233</f>
        <v>0</v>
      </c>
      <c r="BF233">
        <f>+VALUE(W233)</f>
        <v>0</v>
      </c>
      <c r="BG233">
        <f>+VALUE(X233)</f>
        <v>0</v>
      </c>
      <c r="BH233">
        <f>+VALUE(Y233)</f>
        <v>0</v>
      </c>
      <c r="BI233">
        <f>+VALUE(Z233)</f>
        <v>0</v>
      </c>
    </row>
    <row r="234" spans="20:61">
      <c r="T234" s="85"/>
      <c r="U234" s="85"/>
      <c r="V234" s="85"/>
      <c r="W234" s="85"/>
      <c r="X234" s="85"/>
      <c r="Y234" s="85"/>
      <c r="Z234" s="85"/>
      <c r="AA234" s="85"/>
      <c r="AB234" s="85"/>
      <c r="BC234" t="str">
        <f>+IF(LEN(T234)&gt;0,T234,"")</f>
        <v/>
      </c>
      <c r="BD234">
        <f>+U234</f>
        <v>0</v>
      </c>
      <c r="BE234">
        <f>+V234</f>
        <v>0</v>
      </c>
      <c r="BF234">
        <f>+VALUE(W234)</f>
        <v>0</v>
      </c>
      <c r="BG234">
        <f>+VALUE(X234)</f>
        <v>0</v>
      </c>
      <c r="BH234">
        <f>+VALUE(Y234)</f>
        <v>0</v>
      </c>
      <c r="BI234">
        <f>+VALUE(Z234)</f>
        <v>0</v>
      </c>
    </row>
    <row r="235" spans="20:61">
      <c r="T235" s="85"/>
      <c r="U235" s="85"/>
      <c r="V235" s="85"/>
      <c r="W235" s="85"/>
      <c r="X235" s="85"/>
      <c r="Y235" s="85"/>
      <c r="Z235" s="85"/>
      <c r="AA235" s="85"/>
      <c r="AB235" s="85"/>
      <c r="BC235" t="str">
        <f>+IF(LEN(T235)&gt;0,T235,"")</f>
        <v/>
      </c>
      <c r="BD235">
        <f>+U235</f>
        <v>0</v>
      </c>
      <c r="BE235">
        <f>+V235</f>
        <v>0</v>
      </c>
      <c r="BF235">
        <f>+VALUE(W235)</f>
        <v>0</v>
      </c>
      <c r="BG235">
        <f>+VALUE(X235)</f>
        <v>0</v>
      </c>
      <c r="BH235">
        <f>+VALUE(Y235)</f>
        <v>0</v>
      </c>
      <c r="BI235">
        <f>+VALUE(Z235)</f>
        <v>0</v>
      </c>
    </row>
    <row r="236" spans="20:61">
      <c r="T236" s="85"/>
      <c r="U236" s="85"/>
      <c r="V236" s="85"/>
      <c r="W236" s="85"/>
      <c r="X236" s="85"/>
      <c r="Y236" s="85"/>
      <c r="Z236" s="85"/>
      <c r="AA236" s="85"/>
      <c r="AB236" s="85"/>
      <c r="BC236" t="str">
        <f>+IF(LEN(T236)&gt;0,T236,"")</f>
        <v/>
      </c>
      <c r="BD236">
        <f>+U236</f>
        <v>0</v>
      </c>
      <c r="BE236">
        <f>+V236</f>
        <v>0</v>
      </c>
      <c r="BF236">
        <f>+VALUE(W236)</f>
        <v>0</v>
      </c>
      <c r="BG236">
        <f>+VALUE(X236)</f>
        <v>0</v>
      </c>
      <c r="BH236">
        <f>+VALUE(Y236)</f>
        <v>0</v>
      </c>
      <c r="BI236">
        <f>+VALUE(Z236)</f>
        <v>0</v>
      </c>
    </row>
    <row r="237" spans="20:61">
      <c r="T237" s="85"/>
      <c r="U237" s="85"/>
      <c r="V237" s="85"/>
      <c r="W237" s="85"/>
      <c r="X237" s="85"/>
      <c r="Y237" s="85"/>
      <c r="Z237" s="85"/>
      <c r="AA237" s="85"/>
      <c r="AB237" s="85"/>
      <c r="BC237" t="str">
        <f>+IF(LEN(T237)&gt;0,T237,"")</f>
        <v/>
      </c>
      <c r="BD237">
        <f>+U237</f>
        <v>0</v>
      </c>
      <c r="BE237">
        <f>+V237</f>
        <v>0</v>
      </c>
      <c r="BF237">
        <f>+VALUE(W237)</f>
        <v>0</v>
      </c>
      <c r="BG237">
        <f>+VALUE(X237)</f>
        <v>0</v>
      </c>
      <c r="BH237">
        <f>+VALUE(Y237)</f>
        <v>0</v>
      </c>
      <c r="BI237">
        <f>+VALUE(Z237)</f>
        <v>0</v>
      </c>
    </row>
    <row r="238" spans="20:61">
      <c r="T238" s="85"/>
      <c r="U238" s="85"/>
      <c r="V238" s="85"/>
      <c r="W238" s="85"/>
      <c r="X238" s="85"/>
      <c r="Y238" s="85"/>
      <c r="Z238" s="85"/>
      <c r="AA238" s="85"/>
      <c r="AB238" s="85"/>
      <c r="BC238" t="str">
        <f>+IF(LEN(T238)&gt;0,T238,"")</f>
        <v/>
      </c>
      <c r="BD238">
        <f>+U238</f>
        <v>0</v>
      </c>
      <c r="BE238">
        <f>+V238</f>
        <v>0</v>
      </c>
      <c r="BF238">
        <f>+VALUE(W238)</f>
        <v>0</v>
      </c>
      <c r="BG238">
        <f>+VALUE(X238)</f>
        <v>0</v>
      </c>
      <c r="BH238">
        <f>+VALUE(Y238)</f>
        <v>0</v>
      </c>
      <c r="BI238">
        <f>+VALUE(Z238)</f>
        <v>0</v>
      </c>
    </row>
    <row r="239" spans="20:61">
      <c r="T239" s="85"/>
      <c r="U239" s="85"/>
      <c r="V239" s="85"/>
      <c r="W239" s="85"/>
      <c r="X239" s="85"/>
      <c r="Y239" s="85"/>
      <c r="Z239" s="85"/>
      <c r="AA239" s="85"/>
      <c r="AB239" s="85"/>
      <c r="BC239" t="str">
        <f>+IF(LEN(T239)&gt;0,T239,"")</f>
        <v/>
      </c>
      <c r="BD239">
        <f>+U239</f>
        <v>0</v>
      </c>
      <c r="BE239">
        <f>+V239</f>
        <v>0</v>
      </c>
      <c r="BF239">
        <f>+VALUE(W239)</f>
        <v>0</v>
      </c>
      <c r="BG239">
        <f>+VALUE(X239)</f>
        <v>0</v>
      </c>
      <c r="BH239">
        <f>+VALUE(Y239)</f>
        <v>0</v>
      </c>
      <c r="BI239">
        <f>+VALUE(Z239)</f>
        <v>0</v>
      </c>
    </row>
    <row r="240" spans="20:61">
      <c r="T240" s="85"/>
      <c r="U240" s="85"/>
      <c r="V240" s="85"/>
      <c r="W240" s="85"/>
      <c r="X240" s="85"/>
      <c r="Y240" s="85"/>
      <c r="Z240" s="85"/>
      <c r="AA240" s="85"/>
      <c r="AB240" s="85"/>
      <c r="BC240" t="str">
        <f>+IF(LEN(T240)&gt;0,T240,"")</f>
        <v/>
      </c>
      <c r="BD240">
        <f>+U240</f>
        <v>0</v>
      </c>
      <c r="BE240">
        <f>+V240</f>
        <v>0</v>
      </c>
      <c r="BF240">
        <f>+VALUE(W240)</f>
        <v>0</v>
      </c>
      <c r="BG240">
        <f>+VALUE(X240)</f>
        <v>0</v>
      </c>
      <c r="BH240">
        <f>+VALUE(Y240)</f>
        <v>0</v>
      </c>
      <c r="BI240">
        <f>+VALUE(Z240)</f>
        <v>0</v>
      </c>
    </row>
    <row r="241" spans="20:61">
      <c r="T241" s="85"/>
      <c r="U241" s="85"/>
      <c r="V241" s="85"/>
      <c r="W241" s="85"/>
      <c r="X241" s="85"/>
      <c r="Y241" s="85"/>
      <c r="Z241" s="85"/>
      <c r="AA241" s="85"/>
      <c r="AB241" s="85"/>
      <c r="BC241" t="str">
        <f>+IF(LEN(T241)&gt;0,T241,"")</f>
        <v/>
      </c>
      <c r="BD241">
        <f>+U241</f>
        <v>0</v>
      </c>
      <c r="BE241">
        <f>+V241</f>
        <v>0</v>
      </c>
      <c r="BF241">
        <f>+VALUE(W241)</f>
        <v>0</v>
      </c>
      <c r="BG241">
        <f>+VALUE(X241)</f>
        <v>0</v>
      </c>
      <c r="BH241">
        <f>+VALUE(Y241)</f>
        <v>0</v>
      </c>
      <c r="BI241">
        <f>+VALUE(Z241)</f>
        <v>0</v>
      </c>
    </row>
    <row r="242" spans="20:61">
      <c r="T242" s="85"/>
      <c r="U242" s="85"/>
      <c r="V242" s="85"/>
      <c r="W242" s="85"/>
      <c r="X242" s="85"/>
      <c r="Y242" s="85"/>
      <c r="Z242" s="85"/>
      <c r="AA242" s="85"/>
      <c r="AB242" s="85"/>
      <c r="BC242" t="str">
        <f>+IF(LEN(T242)&gt;0,T242,"")</f>
        <v/>
      </c>
      <c r="BD242">
        <f>+U242</f>
        <v>0</v>
      </c>
      <c r="BE242">
        <f>+V242</f>
        <v>0</v>
      </c>
      <c r="BF242">
        <f>+VALUE(W242)</f>
        <v>0</v>
      </c>
      <c r="BG242">
        <f>+VALUE(X242)</f>
        <v>0</v>
      </c>
      <c r="BH242">
        <f>+VALUE(Y242)</f>
        <v>0</v>
      </c>
      <c r="BI242">
        <f>+VALUE(Z242)</f>
        <v>0</v>
      </c>
    </row>
    <row r="243" spans="20:61">
      <c r="T243" s="85"/>
      <c r="U243" s="85"/>
      <c r="V243" s="85"/>
      <c r="W243" s="85"/>
      <c r="X243" s="85"/>
      <c r="Y243" s="85"/>
      <c r="Z243" s="85"/>
      <c r="AA243" s="85"/>
      <c r="AB243" s="85"/>
      <c r="BC243" t="str">
        <f>+IF(LEN(T243)&gt;0,T243,"")</f>
        <v/>
      </c>
      <c r="BD243">
        <f>+U243</f>
        <v>0</v>
      </c>
      <c r="BE243">
        <f>+V243</f>
        <v>0</v>
      </c>
      <c r="BF243">
        <f>+VALUE(W243)</f>
        <v>0</v>
      </c>
      <c r="BG243">
        <f>+VALUE(X243)</f>
        <v>0</v>
      </c>
      <c r="BH243">
        <f>+VALUE(Y243)</f>
        <v>0</v>
      </c>
      <c r="BI243">
        <f>+VALUE(Z243)</f>
        <v>0</v>
      </c>
    </row>
    <row r="244" spans="20:61">
      <c r="T244" s="85"/>
      <c r="U244" s="85"/>
      <c r="V244" s="85"/>
      <c r="W244" s="85"/>
      <c r="X244" s="85"/>
      <c r="Y244" s="85"/>
      <c r="Z244" s="85"/>
      <c r="AA244" s="85"/>
      <c r="AB244" s="85"/>
      <c r="BC244" t="str">
        <f>+IF(LEN(T244)&gt;0,T244,"")</f>
        <v/>
      </c>
      <c r="BD244">
        <f>+U244</f>
        <v>0</v>
      </c>
      <c r="BE244">
        <f>+V244</f>
        <v>0</v>
      </c>
      <c r="BF244">
        <f>+VALUE(W244)</f>
        <v>0</v>
      </c>
      <c r="BG244">
        <f>+VALUE(X244)</f>
        <v>0</v>
      </c>
      <c r="BH244">
        <f>+VALUE(Y244)</f>
        <v>0</v>
      </c>
      <c r="BI244">
        <f>+VALUE(Z244)</f>
        <v>0</v>
      </c>
    </row>
    <row r="245" spans="20:61">
      <c r="T245" s="85"/>
      <c r="U245" s="85"/>
      <c r="V245" s="85"/>
      <c r="W245" s="85"/>
      <c r="X245" s="85"/>
      <c r="Y245" s="85"/>
      <c r="Z245" s="85"/>
      <c r="AA245" s="85"/>
      <c r="AB245" s="85"/>
      <c r="BC245" t="str">
        <f>+IF(LEN(T245)&gt;0,T245,"")</f>
        <v/>
      </c>
      <c r="BD245">
        <f>+U245</f>
        <v>0</v>
      </c>
      <c r="BE245">
        <f>+V245</f>
        <v>0</v>
      </c>
      <c r="BF245">
        <f>+VALUE(W245)</f>
        <v>0</v>
      </c>
      <c r="BG245">
        <f>+VALUE(X245)</f>
        <v>0</v>
      </c>
      <c r="BH245">
        <f>+VALUE(Y245)</f>
        <v>0</v>
      </c>
      <c r="BI245">
        <f>+VALUE(Z245)</f>
        <v>0</v>
      </c>
    </row>
    <row r="246" spans="20:61">
      <c r="T246" s="85"/>
      <c r="U246" s="85"/>
      <c r="V246" s="85"/>
      <c r="W246" s="85"/>
      <c r="X246" s="85"/>
      <c r="Y246" s="85"/>
      <c r="Z246" s="85"/>
      <c r="AA246" s="85"/>
      <c r="AB246" s="85"/>
      <c r="BC246" t="str">
        <f>+IF(LEN(T246)&gt;0,T246,"")</f>
        <v/>
      </c>
      <c r="BD246">
        <f>+U246</f>
        <v>0</v>
      </c>
      <c r="BE246">
        <f>+V246</f>
        <v>0</v>
      </c>
      <c r="BF246">
        <f>+VALUE(W246)</f>
        <v>0</v>
      </c>
      <c r="BG246">
        <f>+VALUE(X246)</f>
        <v>0</v>
      </c>
      <c r="BH246">
        <f>+VALUE(Y246)</f>
        <v>0</v>
      </c>
      <c r="BI246">
        <f>+VALUE(Z246)</f>
        <v>0</v>
      </c>
    </row>
    <row r="247" spans="20:61">
      <c r="T247" s="85"/>
      <c r="U247" s="85"/>
      <c r="V247" s="85"/>
      <c r="W247" s="85"/>
      <c r="X247" s="85"/>
      <c r="Y247" s="85"/>
      <c r="Z247" s="85"/>
      <c r="AA247" s="85"/>
      <c r="AB247" s="85"/>
      <c r="BC247" t="str">
        <f>+IF(LEN(T247)&gt;0,T247,"")</f>
        <v/>
      </c>
      <c r="BD247">
        <f>+U247</f>
        <v>0</v>
      </c>
      <c r="BE247">
        <f>+V247</f>
        <v>0</v>
      </c>
      <c r="BF247">
        <f>+VALUE(W247)</f>
        <v>0</v>
      </c>
      <c r="BG247">
        <f>+VALUE(X247)</f>
        <v>0</v>
      </c>
      <c r="BH247">
        <f>+VALUE(Y247)</f>
        <v>0</v>
      </c>
      <c r="BI247">
        <f>+VALUE(Z247)</f>
        <v>0</v>
      </c>
    </row>
    <row r="248" spans="20:61">
      <c r="T248" s="85"/>
      <c r="U248" s="85"/>
      <c r="V248" s="85"/>
      <c r="W248" s="85"/>
      <c r="X248" s="85"/>
      <c r="Y248" s="85"/>
      <c r="Z248" s="85"/>
      <c r="AA248" s="85"/>
      <c r="AB248" s="85"/>
      <c r="BC248" t="str">
        <f>+IF(LEN(T248)&gt;0,T248,"")</f>
        <v/>
      </c>
      <c r="BD248">
        <f>+U248</f>
        <v>0</v>
      </c>
      <c r="BE248">
        <f>+V248</f>
        <v>0</v>
      </c>
      <c r="BF248">
        <f>+VALUE(W248)</f>
        <v>0</v>
      </c>
      <c r="BG248">
        <f>+VALUE(X248)</f>
        <v>0</v>
      </c>
      <c r="BH248">
        <f>+VALUE(Y248)</f>
        <v>0</v>
      </c>
      <c r="BI248">
        <f>+VALUE(Z248)</f>
        <v>0</v>
      </c>
    </row>
    <row r="249" spans="20:61">
      <c r="T249" s="85"/>
      <c r="U249" s="85"/>
      <c r="V249" s="85"/>
      <c r="W249" s="85"/>
      <c r="X249" s="85"/>
      <c r="Y249" s="85"/>
      <c r="Z249" s="85"/>
      <c r="AA249" s="85"/>
      <c r="AB249" s="85"/>
      <c r="BC249" t="str">
        <f>+IF(LEN(T249)&gt;0,T249,"")</f>
        <v/>
      </c>
      <c r="BD249">
        <f>+U249</f>
        <v>0</v>
      </c>
      <c r="BE249">
        <f>+V249</f>
        <v>0</v>
      </c>
      <c r="BF249">
        <f>+VALUE(W249)</f>
        <v>0</v>
      </c>
      <c r="BG249">
        <f>+VALUE(X249)</f>
        <v>0</v>
      </c>
      <c r="BH249">
        <f>+VALUE(Y249)</f>
        <v>0</v>
      </c>
      <c r="BI249">
        <f>+VALUE(Z249)</f>
        <v>0</v>
      </c>
    </row>
    <row r="250" spans="20:61">
      <c r="T250" s="85"/>
      <c r="U250" s="85"/>
      <c r="V250" s="85"/>
      <c r="W250" s="85"/>
      <c r="X250" s="85"/>
      <c r="Y250" s="85"/>
      <c r="Z250" s="85"/>
      <c r="AA250" s="85"/>
      <c r="AB250" s="85"/>
      <c r="BC250" t="str">
        <f>+IF(LEN(T250)&gt;0,T250,"")</f>
        <v/>
      </c>
      <c r="BD250">
        <f>+U250</f>
        <v>0</v>
      </c>
      <c r="BE250">
        <f>+V250</f>
        <v>0</v>
      </c>
      <c r="BF250">
        <f>+VALUE(W250)</f>
        <v>0</v>
      </c>
      <c r="BG250">
        <f>+VALUE(X250)</f>
        <v>0</v>
      </c>
      <c r="BH250">
        <f>+VALUE(Y250)</f>
        <v>0</v>
      </c>
      <c r="BI250">
        <f>+VALUE(Z250)</f>
        <v>0</v>
      </c>
    </row>
    <row r="251" spans="20:61">
      <c r="T251" s="85"/>
      <c r="U251" s="85"/>
      <c r="V251" s="85"/>
      <c r="W251" s="85"/>
      <c r="X251" s="85"/>
      <c r="Y251" s="85"/>
      <c r="Z251" s="85"/>
      <c r="AA251" s="85"/>
      <c r="AB251" s="85"/>
      <c r="BC251" t="str">
        <f>+IF(LEN(T251)&gt;0,T251,"")</f>
        <v/>
      </c>
      <c r="BD251">
        <f>+U251</f>
        <v>0</v>
      </c>
      <c r="BE251">
        <f>+V251</f>
        <v>0</v>
      </c>
      <c r="BF251">
        <f>+VALUE(W251)</f>
        <v>0</v>
      </c>
      <c r="BG251">
        <f>+VALUE(X251)</f>
        <v>0</v>
      </c>
      <c r="BH251">
        <f>+VALUE(Y251)</f>
        <v>0</v>
      </c>
      <c r="BI251">
        <f>+VALUE(Z251)</f>
        <v>0</v>
      </c>
    </row>
    <row r="252" spans="20:61">
      <c r="T252" s="85"/>
      <c r="U252" s="85"/>
      <c r="V252" s="85"/>
      <c r="W252" s="85"/>
      <c r="X252" s="85"/>
      <c r="Y252" s="85"/>
      <c r="Z252" s="85"/>
      <c r="AA252" s="85"/>
      <c r="AB252" s="85"/>
      <c r="BC252" t="str">
        <f>+IF(LEN(T252)&gt;0,T252,"")</f>
        <v/>
      </c>
      <c r="BD252">
        <f>+U252</f>
        <v>0</v>
      </c>
      <c r="BE252">
        <f>+V252</f>
        <v>0</v>
      </c>
      <c r="BF252">
        <f>+VALUE(W252)</f>
        <v>0</v>
      </c>
      <c r="BG252">
        <f>+VALUE(X252)</f>
        <v>0</v>
      </c>
      <c r="BH252">
        <f>+VALUE(Y252)</f>
        <v>0</v>
      </c>
      <c r="BI252">
        <f>+VALUE(Z252)</f>
        <v>0</v>
      </c>
    </row>
    <row r="253" spans="20:61">
      <c r="T253" s="85"/>
      <c r="U253" s="85"/>
      <c r="V253" s="85"/>
      <c r="W253" s="85"/>
      <c r="X253" s="85"/>
      <c r="Y253" s="85"/>
      <c r="Z253" s="85"/>
      <c r="AA253" s="85"/>
      <c r="AB253" s="85"/>
      <c r="BC253" t="str">
        <f>+IF(LEN(T253)&gt;0,T253,"")</f>
        <v/>
      </c>
      <c r="BD253">
        <f>+U253</f>
        <v>0</v>
      </c>
      <c r="BE253">
        <f>+V253</f>
        <v>0</v>
      </c>
      <c r="BF253">
        <f>+VALUE(W253)</f>
        <v>0</v>
      </c>
      <c r="BG253">
        <f>+VALUE(X253)</f>
        <v>0</v>
      </c>
      <c r="BH253">
        <f>+VALUE(Y253)</f>
        <v>0</v>
      </c>
      <c r="BI253">
        <f>+VALUE(Z253)</f>
        <v>0</v>
      </c>
    </row>
    <row r="254" spans="20:61">
      <c r="T254" s="85"/>
      <c r="U254" s="85"/>
      <c r="V254" s="85"/>
      <c r="W254" s="85"/>
      <c r="X254" s="85"/>
      <c r="Y254" s="85"/>
      <c r="Z254" s="85"/>
      <c r="AA254" s="85"/>
      <c r="AB254" s="85"/>
      <c r="BC254" t="str">
        <f>+IF(LEN(T254)&gt;0,T254,"")</f>
        <v/>
      </c>
      <c r="BD254">
        <f>+U254</f>
        <v>0</v>
      </c>
      <c r="BE254">
        <f>+V254</f>
        <v>0</v>
      </c>
      <c r="BF254">
        <f>+VALUE(W254)</f>
        <v>0</v>
      </c>
      <c r="BG254">
        <f>+VALUE(X254)</f>
        <v>0</v>
      </c>
      <c r="BH254">
        <f>+VALUE(Y254)</f>
        <v>0</v>
      </c>
      <c r="BI254">
        <f>+VALUE(Z254)</f>
        <v>0</v>
      </c>
    </row>
    <row r="255" spans="20:61">
      <c r="T255" s="85"/>
      <c r="U255" s="85"/>
      <c r="V255" s="85"/>
      <c r="W255" s="85"/>
      <c r="X255" s="85"/>
      <c r="Y255" s="85"/>
      <c r="Z255" s="85"/>
      <c r="AA255" s="85"/>
      <c r="AB255" s="85"/>
      <c r="BC255" t="str">
        <f>+IF(LEN(T255)&gt;0,T255,"")</f>
        <v/>
      </c>
      <c r="BD255">
        <f>+U255</f>
        <v>0</v>
      </c>
      <c r="BE255">
        <f>+V255</f>
        <v>0</v>
      </c>
      <c r="BF255">
        <f>+VALUE(W255)</f>
        <v>0</v>
      </c>
      <c r="BG255">
        <f>+VALUE(X255)</f>
        <v>0</v>
      </c>
      <c r="BH255">
        <f>+VALUE(Y255)</f>
        <v>0</v>
      </c>
      <c r="BI255">
        <f>+VALUE(Z255)</f>
        <v>0</v>
      </c>
    </row>
    <row r="256" spans="20:61">
      <c r="T256" s="85"/>
      <c r="U256" s="85"/>
      <c r="V256" s="85"/>
      <c r="W256" s="85"/>
      <c r="X256" s="85"/>
      <c r="Y256" s="85"/>
      <c r="Z256" s="85"/>
      <c r="AA256" s="85"/>
      <c r="AB256" s="85"/>
      <c r="BC256" t="str">
        <f>+IF(LEN(T256)&gt;0,T256,"")</f>
        <v/>
      </c>
      <c r="BD256">
        <f>+U256</f>
        <v>0</v>
      </c>
      <c r="BE256">
        <f>+V256</f>
        <v>0</v>
      </c>
      <c r="BF256">
        <f>+VALUE(W256)</f>
        <v>0</v>
      </c>
      <c r="BG256">
        <f>+VALUE(X256)</f>
        <v>0</v>
      </c>
      <c r="BH256">
        <f>+VALUE(Y256)</f>
        <v>0</v>
      </c>
      <c r="BI256">
        <f>+VALUE(Z256)</f>
        <v>0</v>
      </c>
    </row>
    <row r="257" spans="20:61">
      <c r="T257" s="85"/>
      <c r="U257" s="85"/>
      <c r="V257" s="85"/>
      <c r="W257" s="85"/>
      <c r="X257" s="85"/>
      <c r="Y257" s="85"/>
      <c r="Z257" s="85"/>
      <c r="AA257" s="85"/>
      <c r="AB257" s="85"/>
      <c r="BC257" t="str">
        <f>+IF(LEN(T257)&gt;0,T257,"")</f>
        <v/>
      </c>
      <c r="BD257">
        <f>+U257</f>
        <v>0</v>
      </c>
      <c r="BE257">
        <f>+V257</f>
        <v>0</v>
      </c>
      <c r="BF257">
        <f>+VALUE(W257)</f>
        <v>0</v>
      </c>
      <c r="BG257">
        <f>+VALUE(X257)</f>
        <v>0</v>
      </c>
      <c r="BH257">
        <f>+VALUE(Y257)</f>
        <v>0</v>
      </c>
      <c r="BI257">
        <f>+VALUE(Z257)</f>
        <v>0</v>
      </c>
    </row>
    <row r="258" spans="20:61">
      <c r="T258" s="85"/>
      <c r="U258" s="85"/>
      <c r="V258" s="85"/>
      <c r="W258" s="85"/>
      <c r="X258" s="85"/>
      <c r="Y258" s="85"/>
      <c r="Z258" s="85"/>
      <c r="AA258" s="85"/>
      <c r="AB258" s="85"/>
      <c r="BC258" t="str">
        <f>+IF(LEN(T258)&gt;0,T258,"")</f>
        <v/>
      </c>
      <c r="BD258">
        <f>+U258</f>
        <v>0</v>
      </c>
      <c r="BE258">
        <f>+V258</f>
        <v>0</v>
      </c>
      <c r="BF258">
        <f>+VALUE(W258)</f>
        <v>0</v>
      </c>
      <c r="BG258">
        <f>+VALUE(X258)</f>
        <v>0</v>
      </c>
      <c r="BH258">
        <f>+VALUE(Y258)</f>
        <v>0</v>
      </c>
      <c r="BI258">
        <f>+VALUE(Z258)</f>
        <v>0</v>
      </c>
    </row>
    <row r="259" spans="20:61">
      <c r="T259" s="85"/>
      <c r="U259" s="85"/>
      <c r="V259" s="85"/>
      <c r="W259" s="85"/>
      <c r="X259" s="85"/>
      <c r="Y259" s="85"/>
      <c r="Z259" s="85"/>
      <c r="AA259" s="85"/>
      <c r="AB259" s="85"/>
      <c r="BC259" t="str">
        <f>+IF(LEN(T259)&gt;0,T259,"")</f>
        <v/>
      </c>
      <c r="BD259">
        <f>+U259</f>
        <v>0</v>
      </c>
      <c r="BE259">
        <f>+V259</f>
        <v>0</v>
      </c>
      <c r="BF259">
        <f>+VALUE(W259)</f>
        <v>0</v>
      </c>
      <c r="BG259">
        <f>+VALUE(X259)</f>
        <v>0</v>
      </c>
      <c r="BH259">
        <f>+VALUE(Y259)</f>
        <v>0</v>
      </c>
      <c r="BI259">
        <f>+VALUE(Z259)</f>
        <v>0</v>
      </c>
    </row>
    <row r="260" spans="20:61">
      <c r="T260" s="85"/>
      <c r="U260" s="85"/>
      <c r="V260" s="85"/>
      <c r="W260" s="85"/>
      <c r="X260" s="85"/>
      <c r="Y260" s="85"/>
      <c r="Z260" s="85"/>
      <c r="AA260" s="85"/>
      <c r="AB260" s="85"/>
      <c r="BC260" t="str">
        <f>+IF(LEN(T260)&gt;0,T260,"")</f>
        <v/>
      </c>
      <c r="BD260">
        <f>+U260</f>
        <v>0</v>
      </c>
      <c r="BE260">
        <f>+V260</f>
        <v>0</v>
      </c>
      <c r="BF260">
        <f>+VALUE(W260)</f>
        <v>0</v>
      </c>
      <c r="BG260">
        <f>+VALUE(X260)</f>
        <v>0</v>
      </c>
      <c r="BH260">
        <f>+VALUE(Y260)</f>
        <v>0</v>
      </c>
      <c r="BI260">
        <f>+VALUE(Z260)</f>
        <v>0</v>
      </c>
    </row>
    <row r="261" spans="20:61">
      <c r="T261" s="85"/>
      <c r="U261" s="85"/>
      <c r="V261" s="85"/>
      <c r="W261" s="85"/>
      <c r="X261" s="85"/>
      <c r="Y261" s="85"/>
      <c r="Z261" s="85"/>
      <c r="AA261" s="85"/>
      <c r="AB261" s="85"/>
      <c r="BC261" t="str">
        <f>+IF(LEN(T261)&gt;0,T261,"")</f>
        <v/>
      </c>
      <c r="BD261">
        <f>+U261</f>
        <v>0</v>
      </c>
      <c r="BE261">
        <f>+V261</f>
        <v>0</v>
      </c>
      <c r="BF261">
        <f>+VALUE(W261)</f>
        <v>0</v>
      </c>
      <c r="BG261">
        <f>+VALUE(X261)</f>
        <v>0</v>
      </c>
      <c r="BH261">
        <f>+VALUE(Y261)</f>
        <v>0</v>
      </c>
      <c r="BI261">
        <f>+VALUE(Z261)</f>
        <v>0</v>
      </c>
    </row>
    <row r="262" spans="20:61">
      <c r="T262" s="2" t="s">
        <v>23</v>
      </c>
      <c r="U262" s="2"/>
      <c r="V262" s="2" t="s">
        <v>23</v>
      </c>
      <c r="W262" s="2" t="s">
        <v>23</v>
      </c>
      <c r="X262" s="2" t="s">
        <v>23</v>
      </c>
      <c r="Y262" s="2" t="s">
        <v>23</v>
      </c>
      <c r="Z262" s="2" t="s">
        <v>23</v>
      </c>
      <c r="AA262" s="2"/>
      <c r="AB262" s="2"/>
      <c r="BC262" s="2" t="s">
        <v>23</v>
      </c>
      <c r="BD262" s="2" t="s">
        <v>23</v>
      </c>
      <c r="BE262" s="2" t="s">
        <v>23</v>
      </c>
      <c r="BF262" s="2" t="s">
        <v>23</v>
      </c>
      <c r="BG262" s="2" t="s">
        <v>23</v>
      </c>
      <c r="BH262" s="2" t="s">
        <v>23</v>
      </c>
      <c r="BI262" s="2" t="s">
        <v>23</v>
      </c>
    </row>
  </sheetData>
  <sheetProtection selectLockedCells="1" selectUnlockedCells="1"/>
  <phoneticPr fontId="0" type="noConversion"/>
  <pageMargins left="0.75" right="0.75" top="1" bottom="1" header="0.5" footer="0.5"/>
  <pageSetup orientation="portrait" horizontalDpi="4294967293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Set Up</vt:lpstr>
      <vt:lpstr>Cost to Complete</vt:lpstr>
      <vt:lpstr>MB Data</vt:lpstr>
      <vt:lpstr>'Cost to Complete'!_Key1</vt:lpstr>
      <vt:lpstr>'Cost to Complete'!_Sort</vt:lpstr>
      <vt:lpstr>AccountingPeriods</vt:lpstr>
      <vt:lpstr>adoChangeData</vt:lpstr>
      <vt:lpstr>adoCostData</vt:lpstr>
      <vt:lpstr>adoformat</vt:lpstr>
      <vt:lpstr>adoJobData</vt:lpstr>
      <vt:lpstr>CalcChangeBudget</vt:lpstr>
      <vt:lpstr>CalcChangeCosts</vt:lpstr>
      <vt:lpstr>CalcPrimeChangeNonCO</vt:lpstr>
      <vt:lpstr>ChangeData</vt:lpstr>
      <vt:lpstr>CostData</vt:lpstr>
      <vt:lpstr>JobData</vt:lpstr>
      <vt:lpstr>ParamCOCostCode</vt:lpstr>
      <vt:lpstr>ParamCurrentYear</vt:lpstr>
      <vt:lpstr>ParamIncludePrimeChanges</vt:lpstr>
      <vt:lpstr>'Cost to Complete'!Print_Area</vt:lpstr>
      <vt:lpstr>test3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lawendt</dc:creator>
  <cp:lastModifiedBy>Lawrence Wendt</cp:lastModifiedBy>
  <cp:lastPrinted>2006-06-26T12:29:38Z</cp:lastPrinted>
  <dcterms:created xsi:type="dcterms:W3CDTF">1999-04-23T18:16:37Z</dcterms:created>
  <dcterms:modified xsi:type="dcterms:W3CDTF">2014-04-10T19:55:54Z</dcterms:modified>
</cp:coreProperties>
</file>